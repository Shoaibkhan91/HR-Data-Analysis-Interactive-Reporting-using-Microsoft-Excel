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VA BATCHES\Morning Dec 2025\Excel\"/>
    </mc:Choice>
  </mc:AlternateContent>
  <xr:revisionPtr revIDLastSave="0" documentId="8_{B9876DEB-0733-4781-9E01-4A68E4335316}" xr6:coauthVersionLast="47" xr6:coauthVersionMax="47" xr10:uidLastSave="{00000000-0000-0000-0000-000000000000}"/>
  <bookViews>
    <workbookView xWindow="-120" yWindow="-120" windowWidth="20730" windowHeight="11040" tabRatio="828" firstSheet="4" activeTab="7" xr2:uid="{456DB50C-BEAB-4ECE-8DE2-4AF62A433D14}"/>
  </bookViews>
  <sheets>
    <sheet name="Employee_Info" sheetId="1" r:id="rId1"/>
    <sheet name="New_employee(Cleaned)" sheetId="7" r:id="rId2"/>
    <sheet name="Emp" sheetId="6" r:id="rId3"/>
    <sheet name="Dept_Info" sheetId="2" r:id="rId4"/>
    <sheet name="Business Context" sheetId="4" r:id="rId5"/>
    <sheet name="Expected Deliverables" sheetId="3" r:id="rId6"/>
    <sheet name="Analysis| Summarization" sheetId="5" r:id="rId7"/>
    <sheet name="HR ANALYSIS" sheetId="8" r:id="rId8"/>
  </sheets>
  <definedNames>
    <definedName name="Slicer_Dep_Name">#N/A</definedName>
    <definedName name="Slicer_Gender">#N/A</definedName>
    <definedName name="Slicer_Last_performance_rating">#N/A</definedName>
    <definedName name="Slicer_Left?">#N/A</definedName>
    <definedName name="Slicer_Title">#N/A</definedName>
    <definedName name="Timeline_DoJ">#N/A</definedName>
  </definedNames>
  <calcPr calcId="191029"/>
  <pivotCaches>
    <pivotCache cacheId="349" r:id="rId9"/>
    <pivotCache cacheId="352" r:id="rId10"/>
    <pivotCache cacheId="355" r:id="rId11"/>
    <pivotCache cacheId="358" r:id="rId12"/>
    <pivotCache cacheId="361" r:id="rId13"/>
    <pivotCache cacheId="364" r:id="rId14"/>
    <pivotCache cacheId="367" r:id="rId15"/>
    <pivotCache cacheId="370" r:id="rId16"/>
  </pivotCaches>
  <extLst>
    <ext xmlns:x14="http://schemas.microsoft.com/office/spreadsheetml/2009/9/main" uri="{876F7934-8845-4945-9796-88D515C7AA90}">
      <x14:pivotCaches>
        <pivotCache cacheId="237"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41"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_Info_47418f4b-1c9d-4bc7-a6f2-24f690c22d09" name="Dep_Info" connection="Query - Dep_Info"/>
          <x15:modelTable id="Emp_Info_63195a74-b6f1-4f84-b378-7b7a3d78f27f" name="Emp_Info" connection="Query - Emp_Info"/>
        </x15:modelTables>
        <x15:modelRelationships>
          <x15:modelRelationship fromTable="Emp_Info" fromColumn="Dept_Id" toTable="Dep_Info" toColumn="Dept_Id"/>
        </x15:modelRelationships>
        <x15:extLst>
          <ext xmlns:x16="http://schemas.microsoft.com/office/spreadsheetml/2014/11/main" uri="{9835A34E-60A6-4A7C-AAB8-D5F71C897F49}">
            <x16:modelTimeGroupings>
              <x16:modelTimeGrouping tableName="Emp_Info" columnName="DoJ" columnId="DoJ">
                <x16:calculatedTimeColumn columnName="DoJ (Year)" columnId="DoJ (Year)" contentType="years" isSelected="1"/>
                <x16:calculatedTimeColumn columnName="DoJ (Quarter)" columnId="DoJ (Quarter)" contentType="quarters" isSelected="1"/>
                <x16:calculatedTimeColumn columnName="DoJ (Month Index)" columnId="DoJ (Month Index)" contentType="monthsindex" isSelected="1"/>
                <x16:calculatedTimeColumn columnName="DoJ (Month)" columnId="DoJ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8" l="1"/>
  <c r="J4" i="8"/>
  <c r="G4" i="8"/>
  <c r="D4" i="8"/>
  <c r="N2" i="7"/>
  <c r="N3" i="7"/>
  <c r="N4" i="7"/>
  <c r="N5" i="7"/>
  <c r="N6" i="7"/>
  <c r="N7" i="7"/>
  <c r="N8" i="7"/>
  <c r="N9" i="7"/>
  <c r="N10" i="7"/>
  <c r="N11" i="7"/>
  <c r="C78" i="5" s="1"/>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D35" i="5"/>
  <c r="I7" i="5"/>
  <c r="I6" i="5"/>
  <c r="K6" i="5"/>
  <c r="I5" i="5"/>
  <c r="J4" i="5"/>
  <c r="I4" i="5"/>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P4" i="8"/>
  <c r="J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69F43B-271A-45E9-9A6D-39D8203354D1}" name="Query - Dep_Info" description="Connection to the 'Dep_Info' query in the workbook." type="100" refreshedVersion="8" minRefreshableVersion="5">
    <extLst>
      <ext xmlns:x15="http://schemas.microsoft.com/office/spreadsheetml/2010/11/main" uri="{DE250136-89BD-433C-8126-D09CA5730AF9}">
        <x15:connection id="23bd7e27-c775-4e7b-8116-bf54f34cf1ec">
          <x15:oledbPr connection="Provider=Microsoft.Mashup.OleDb.1;Data Source=$Workbook$;Location=Dep_Info;Extended Properties=&quot;&quot;">
            <x15:dbTables>
              <x15:dbTable name="Dep_Info"/>
            </x15:dbTables>
          </x15:oledbPr>
        </x15:connection>
      </ext>
    </extLst>
  </connection>
  <connection id="2" xr16:uid="{140133CD-4D2A-409C-9DA3-8191DB65A8F2}" name="Query - Emp_Info" description="Connection to the 'Emp_Info' query in the workbook." type="100" refreshedVersion="8" minRefreshableVersion="5">
    <extLst>
      <ext xmlns:x15="http://schemas.microsoft.com/office/spreadsheetml/2010/11/main" uri="{DE250136-89BD-433C-8126-D09CA5730AF9}">
        <x15:connection id="8d25bb1a-e0d9-4883-8c16-d39af6c52282"/>
      </ext>
    </extLst>
  </connection>
  <connection id="3" xr16:uid="{5B4E37F8-F126-4B32-9FFA-138FBF6B0A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Emp_Info].[Left?].&amp;[1]}"/>
    <s v="{[Emp_Info].[Last_performance_rating].&amp;[A],[Emp_Info].[Last_performance_rating].&amp;[S]}"/>
    <s v="{[Emp_Info].[DoJ (Year)].&amp;[1998],[Emp_Info].[DoJ (Year)].&amp;[1999]}"/>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<sst xmlns="http://schemas.openxmlformats.org/spreadsheetml/2006/main" count="12241" uniqueCount="1815">
  <si>
    <t>Emp_Id</t>
  </si>
  <si>
    <t>first_name</t>
  </si>
  <si>
    <t>last_name</t>
  </si>
  <si>
    <t>Gender</t>
  </si>
  <si>
    <t>DoJ</t>
  </si>
  <si>
    <t>no_of_projects</t>
  </si>
  <si>
    <t>Last_performance_rating</t>
  </si>
  <si>
    <t>last_date</t>
  </si>
  <si>
    <t>Dept_Id</t>
  </si>
  <si>
    <t>Title</t>
  </si>
  <si>
    <t>9/2/1953</t>
  </si>
  <si>
    <t>Georgi</t>
  </si>
  <si>
    <t>Facello</t>
  </si>
  <si>
    <t>M</t>
  </si>
  <si>
    <t>6/26/1986</t>
  </si>
  <si>
    <t>C</t>
  </si>
  <si>
    <t>7/30/1994</t>
  </si>
  <si>
    <t>d005</t>
  </si>
  <si>
    <t>Senior Engineer</t>
  </si>
  <si>
    <t>12/3/1959</t>
  </si>
  <si>
    <t>Parto</t>
  </si>
  <si>
    <t>Bamford</t>
  </si>
  <si>
    <t>8/28/1986</t>
  </si>
  <si>
    <t/>
  </si>
  <si>
    <t>d004</t>
  </si>
  <si>
    <t>5/1/1954</t>
  </si>
  <si>
    <t>Chirstian</t>
  </si>
  <si>
    <t>Koblick</t>
  </si>
  <si>
    <t>12/1/1986</t>
  </si>
  <si>
    <t>A</t>
  </si>
  <si>
    <t>4/20/1953</t>
  </si>
  <si>
    <t>Anneke</t>
  </si>
  <si>
    <t>Preusig</t>
  </si>
  <si>
    <t>F</t>
  </si>
  <si>
    <t>6/2/1989</t>
  </si>
  <si>
    <t>B</t>
  </si>
  <si>
    <t>6/2/1964</t>
  </si>
  <si>
    <t>Bezalel</t>
  </si>
  <si>
    <t>Simmel</t>
  </si>
  <si>
    <t>11/21/1985</t>
  </si>
  <si>
    <t>d007</t>
  </si>
  <si>
    <t>Staff</t>
  </si>
  <si>
    <t>1/21/1955</t>
  </si>
  <si>
    <t>Kyoichi</t>
  </si>
  <si>
    <t>Maliniak</t>
  </si>
  <si>
    <t>9/12/1989</t>
  </si>
  <si>
    <t>d003</t>
  </si>
  <si>
    <t>9/28/1957</t>
  </si>
  <si>
    <t>Xiong</t>
  </si>
  <si>
    <t>Verhoeff</t>
  </si>
  <si>
    <t>11/26/1987</t>
  </si>
  <si>
    <t>1/30/1958</t>
  </si>
  <si>
    <t>Berry</t>
  </si>
  <si>
    <t>Babb</t>
  </si>
  <si>
    <t>3/21/1992</t>
  </si>
  <si>
    <t>Engineer</t>
  </si>
  <si>
    <t>5/23/1957</t>
  </si>
  <si>
    <t>Tzvetan</t>
  </si>
  <si>
    <t>Zielinski</t>
  </si>
  <si>
    <t>2/10/1989</t>
  </si>
  <si>
    <t>9/18/2002</t>
  </si>
  <si>
    <t>d008</t>
  </si>
  <si>
    <t>2/19/1958</t>
  </si>
  <si>
    <t>Saniya</t>
  </si>
  <si>
    <t>Kalloufi</t>
  </si>
  <si>
    <t>9/15/1994</t>
  </si>
  <si>
    <t>Assistant Engineer</t>
  </si>
  <si>
    <t>10/28/1952</t>
  </si>
  <si>
    <t>Abdelkader</t>
  </si>
  <si>
    <t>Baumann</t>
  </si>
  <si>
    <t>1/18/1991</t>
  </si>
  <si>
    <t>d006</t>
  </si>
  <si>
    <t>4/19/1952</t>
  </si>
  <si>
    <t>Sumant</t>
  </si>
  <si>
    <t>Peac</t>
  </si>
  <si>
    <t>2/18/1985</t>
  </si>
  <si>
    <t>6/1/1963</t>
  </si>
  <si>
    <t>Duangkaew</t>
  </si>
  <si>
    <t>Piveteau</t>
  </si>
  <si>
    <t>8/24/1989</t>
  </si>
  <si>
    <t>10/30/1959</t>
  </si>
  <si>
    <t>Eran</t>
  </si>
  <si>
    <t>Cusworth</t>
  </si>
  <si>
    <t>11/14/1986</t>
  </si>
  <si>
    <t>8/21/1993</t>
  </si>
  <si>
    <t>11/7/1953</t>
  </si>
  <si>
    <t>Mary</t>
  </si>
  <si>
    <t>Sluis</t>
  </si>
  <si>
    <t>1/22/1990</t>
  </si>
  <si>
    <t>d009</t>
  </si>
  <si>
    <t>4/14/1957</t>
  </si>
  <si>
    <t>Christoph</t>
  </si>
  <si>
    <t>Parfitt</t>
  </si>
  <si>
    <t>6/28/1991</t>
  </si>
  <si>
    <t>10/4/1960</t>
  </si>
  <si>
    <t>Patricio</t>
  </si>
  <si>
    <t>Bridgland</t>
  </si>
  <si>
    <t>12/18/1992</t>
  </si>
  <si>
    <t>6/7/1963</t>
  </si>
  <si>
    <t>Eberhardt</t>
  </si>
  <si>
    <t>Terkki</t>
  </si>
  <si>
    <t>10/20/1985</t>
  </si>
  <si>
    <t>Senior Staff</t>
  </si>
  <si>
    <t>11/17/1964</t>
  </si>
  <si>
    <t>Xudong</t>
  </si>
  <si>
    <t>Samarati</t>
  </si>
  <si>
    <t>11/13/1985</t>
  </si>
  <si>
    <t>8/21/1994</t>
  </si>
  <si>
    <t>d002</t>
  </si>
  <si>
    <t>2/12/1956</t>
  </si>
  <si>
    <t>Berni</t>
  </si>
  <si>
    <t>Genin</t>
  </si>
  <si>
    <t>3/11/1987</t>
  </si>
  <si>
    <t>8/19/1959</t>
  </si>
  <si>
    <t>Guoxiang</t>
  </si>
  <si>
    <t>Nooteboom</t>
  </si>
  <si>
    <t>7/2/1987</t>
  </si>
  <si>
    <t>5/2/1961</t>
  </si>
  <si>
    <t>Kazuhito</t>
  </si>
  <si>
    <t>Cappelletti</t>
  </si>
  <si>
    <t>1/27/1995</t>
  </si>
  <si>
    <t>7/6/1958</t>
  </si>
  <si>
    <t>Cristinel</t>
  </si>
  <si>
    <t>Bouloucos</t>
  </si>
  <si>
    <t>8/3/1993</t>
  </si>
  <si>
    <t>d001</t>
  </si>
  <si>
    <t>4/24/1956</t>
  </si>
  <si>
    <t>Kwangyoen</t>
  </si>
  <si>
    <t>Speek</t>
  </si>
  <si>
    <t>2/14/1993</t>
  </si>
  <si>
    <t>6/19/1954</t>
  </si>
  <si>
    <t>Kazuhide</t>
  </si>
  <si>
    <t>Peha</t>
  </si>
  <si>
    <t>4/3/1987</t>
  </si>
  <si>
    <t>12/31/1961</t>
  </si>
  <si>
    <t>Shuichi</t>
  </si>
  <si>
    <t>Tyugu</t>
  </si>
  <si>
    <t>1/17/1995</t>
  </si>
  <si>
    <t>PIP</t>
  </si>
  <si>
    <t>1/23/1953</t>
  </si>
  <si>
    <t>Lillian</t>
  </si>
  <si>
    <t>Haddadi</t>
  </si>
  <si>
    <t>4/30/1999</t>
  </si>
  <si>
    <t>12/24/1952</t>
  </si>
  <si>
    <t>Mayuko</t>
  </si>
  <si>
    <t>Warwick</t>
  </si>
  <si>
    <t>1/26/1991</t>
  </si>
  <si>
    <t>10/25/1961</t>
  </si>
  <si>
    <t>Abdulah</t>
  </si>
  <si>
    <t>Lunn</t>
  </si>
  <si>
    <t>4/8/1989</t>
  </si>
  <si>
    <t>8/2/2000</t>
  </si>
  <si>
    <t>2/20/1960</t>
  </si>
  <si>
    <t>Ramzi</t>
  </si>
  <si>
    <t>Erde</t>
  </si>
  <si>
    <t>2/10/1988</t>
  </si>
  <si>
    <t>Technique Leader</t>
  </si>
  <si>
    <t>7/8/1952</t>
  </si>
  <si>
    <t>Shahaf</t>
  </si>
  <si>
    <t>Famili</t>
  </si>
  <si>
    <t>8/22/1995</t>
  </si>
  <si>
    <t>11/4/2005</t>
  </si>
  <si>
    <t>8/30/1961</t>
  </si>
  <si>
    <t>Perry</t>
  </si>
  <si>
    <t>Lorho</t>
  </si>
  <si>
    <t>8/3/1991</t>
  </si>
  <si>
    <t>9/29/1953</t>
  </si>
  <si>
    <t>Bojan</t>
  </si>
  <si>
    <t>Montemayor</t>
  </si>
  <si>
    <t>12/17/1989</t>
  </si>
  <si>
    <t>9/5/1958</t>
  </si>
  <si>
    <t>Suzette</t>
  </si>
  <si>
    <t>Pettey</t>
  </si>
  <si>
    <t>5/19/1997</t>
  </si>
  <si>
    <t>3/23/1958</t>
  </si>
  <si>
    <t>Subbu</t>
  </si>
  <si>
    <t>Bultermann</t>
  </si>
  <si>
    <t>3/25/1988</t>
  </si>
  <si>
    <t>10/31/1958</t>
  </si>
  <si>
    <t>Prasadram</t>
  </si>
  <si>
    <t>Heyers</t>
  </si>
  <si>
    <t>8/17/1987</t>
  </si>
  <si>
    <t>4/3/1953</t>
  </si>
  <si>
    <t>Yongqiao</t>
  </si>
  <si>
    <t>Berztiss</t>
  </si>
  <si>
    <t>3/20/1995</t>
  </si>
  <si>
    <t>5/19/1959</t>
  </si>
  <si>
    <t>Zallocco</t>
  </si>
  <si>
    <t>10/14/1986</t>
  </si>
  <si>
    <t>7/10/1962</t>
  </si>
  <si>
    <t>Divier</t>
  </si>
  <si>
    <t>Reistad</t>
  </si>
  <si>
    <t>7/7/1989</t>
  </si>
  <si>
    <t>11/26/1963</t>
  </si>
  <si>
    <t>Domenick</t>
  </si>
  <si>
    <t>Tempesti</t>
  </si>
  <si>
    <t>10/22/1991</t>
  </si>
  <si>
    <t>7/12/1963</t>
  </si>
  <si>
    <t>Bilhanan</t>
  </si>
  <si>
    <t>Wuwongse</t>
  </si>
  <si>
    <t>10/6/1993</t>
  </si>
  <si>
    <t>12/13/1956</t>
  </si>
  <si>
    <t>Otmar</t>
  </si>
  <si>
    <t>Herbst</t>
  </si>
  <si>
    <t>11/20/1985</t>
  </si>
  <si>
    <t>1/19/1964</t>
  </si>
  <si>
    <t>Venkatesan</t>
  </si>
  <si>
    <t>Gilg</t>
  </si>
  <si>
    <t>6/28/1993</t>
  </si>
  <si>
    <t>7/14/1958</t>
  </si>
  <si>
    <t>Elvis</t>
  </si>
  <si>
    <t>Demeyer</t>
  </si>
  <si>
    <t>2/17/1994</t>
  </si>
  <si>
    <t>1/27/1959</t>
  </si>
  <si>
    <t>Karsten</t>
  </si>
  <si>
    <t>Joslin</t>
  </si>
  <si>
    <t>9/1/1991</t>
  </si>
  <si>
    <t>8/3/1999</t>
  </si>
  <si>
    <t>12/11/1957</t>
  </si>
  <si>
    <t>Naftali</t>
  </si>
  <si>
    <t>Dulli</t>
  </si>
  <si>
    <t>6/6/1993</t>
  </si>
  <si>
    <t>8/9/1960</t>
  </si>
  <si>
    <t>Jeong</t>
  </si>
  <si>
    <t>6/20/1990</t>
  </si>
  <si>
    <t>11/14/1956</t>
  </si>
  <si>
    <t>Arif</t>
  </si>
  <si>
    <t>Merlo</t>
  </si>
  <si>
    <t>3/18/1987</t>
  </si>
  <si>
    <t>8/11/1952</t>
  </si>
  <si>
    <t>Roddy</t>
  </si>
  <si>
    <t>Karnin</t>
  </si>
  <si>
    <t>5/29/1985</t>
  </si>
  <si>
    <t>12/29/1962</t>
  </si>
  <si>
    <t>Bader</t>
  </si>
  <si>
    <t>Swan</t>
  </si>
  <si>
    <t>9/21/1988</t>
  </si>
  <si>
    <t>2/8/1953</t>
  </si>
  <si>
    <t>Alain</t>
  </si>
  <si>
    <t>Chappelet</t>
  </si>
  <si>
    <t>9/5/1988</t>
  </si>
  <si>
    <t>11/25/1958</t>
  </si>
  <si>
    <t>Nevio</t>
  </si>
  <si>
    <t>Demizu</t>
  </si>
  <si>
    <t>5/18/1986</t>
  </si>
  <si>
    <t>8/10/1959</t>
  </si>
  <si>
    <t>Adamantios</t>
  </si>
  <si>
    <t>Portugali</t>
  </si>
  <si>
    <t>1/3/1992</t>
  </si>
  <si>
    <t>7/22/1963</t>
  </si>
  <si>
    <t>Pradeep</t>
  </si>
  <si>
    <t>Makrucki</t>
  </si>
  <si>
    <t>12/5/1990</t>
  </si>
  <si>
    <t>7/20/1960</t>
  </si>
  <si>
    <t>Huan</t>
  </si>
  <si>
    <t>Lortz</t>
  </si>
  <si>
    <t>9/20/1989</t>
  </si>
  <si>
    <t>10/1/1959</t>
  </si>
  <si>
    <t>Alejandro</t>
  </si>
  <si>
    <t>Brender</t>
  </si>
  <si>
    <t>1/19/1988</t>
  </si>
  <si>
    <t>1/15/1963</t>
  </si>
  <si>
    <t>Kellyn</t>
  </si>
  <si>
    <t>Yoshizawa</t>
  </si>
  <si>
    <t>5/8/1995</t>
  </si>
  <si>
    <t>9/13/1959</t>
  </si>
  <si>
    <t>Weiyi</t>
  </si>
  <si>
    <t>Meriste</t>
  </si>
  <si>
    <t>2/9/1959</t>
  </si>
  <si>
    <t>McAlpine</t>
  </si>
  <si>
    <t>3/31/1989</t>
  </si>
  <si>
    <t>8/27/1959</t>
  </si>
  <si>
    <t>Uri</t>
  </si>
  <si>
    <t>Lenart</t>
  </si>
  <si>
    <t>11/12/1989</t>
  </si>
  <si>
    <t>2/26/1956</t>
  </si>
  <si>
    <t>Magy</t>
  </si>
  <si>
    <t>Stamatiou</t>
  </si>
  <si>
    <t>3/21/1993</t>
  </si>
  <si>
    <t>5/3/1957</t>
  </si>
  <si>
    <t>Feixiong</t>
  </si>
  <si>
    <t>Poujol</t>
  </si>
  <si>
    <t>5/11/1985</t>
  </si>
  <si>
    <t>9/19/1960</t>
  </si>
  <si>
    <t>Yishay</t>
  </si>
  <si>
    <t>Tzvieli</t>
  </si>
  <si>
    <t>10/20/1990</t>
  </si>
  <si>
    <t>9/21/1961</t>
  </si>
  <si>
    <t>Mingsen</t>
  </si>
  <si>
    <t>Casley</t>
  </si>
  <si>
    <t>5/21/1994</t>
  </si>
  <si>
    <t>9/19/1964</t>
  </si>
  <si>
    <t>Elliott</t>
  </si>
  <si>
    <t>Perl</t>
  </si>
  <si>
    <t>10/29/1987</t>
  </si>
  <si>
    <t>8/14/1957</t>
  </si>
  <si>
    <t>Moss</t>
  </si>
  <si>
    <t>Shanbhogue</t>
  </si>
  <si>
    <t>9/2/1989</t>
  </si>
  <si>
    <t>7/23/1960</t>
  </si>
  <si>
    <t>Lucien</t>
  </si>
  <si>
    <t>Rosenbaum</t>
  </si>
  <si>
    <t>6/20/1992</t>
  </si>
  <si>
    <t>6/19/1960</t>
  </si>
  <si>
    <t>Theron</t>
  </si>
  <si>
    <t>Escriba</t>
  </si>
  <si>
    <t>9/14/1999</t>
  </si>
  <si>
    <t>6/29/1952</t>
  </si>
  <si>
    <t>Zvonko</t>
  </si>
  <si>
    <t>Nyanchama</t>
  </si>
  <si>
    <t>4/23/1991</t>
  </si>
  <si>
    <t>7/11/1963</t>
  </si>
  <si>
    <t>Florian</t>
  </si>
  <si>
    <t>Syrotiuk</t>
  </si>
  <si>
    <t>2/24/1985</t>
  </si>
  <si>
    <t>10/8/1960</t>
  </si>
  <si>
    <t>Nechama</t>
  </si>
  <si>
    <t>Copas</t>
  </si>
  <si>
    <t>10/27/1987</t>
  </si>
  <si>
    <t>4/24/1961</t>
  </si>
  <si>
    <t>Basil</t>
  </si>
  <si>
    <t>Tramer</t>
  </si>
  <si>
    <t>5/4/1992</t>
  </si>
  <si>
    <t>5/21/1958</t>
  </si>
  <si>
    <t>Yinghua</t>
  </si>
  <si>
    <t>Dredge</t>
  </si>
  <si>
    <t>12/25/1990</t>
  </si>
  <si>
    <t>11/12/1961</t>
  </si>
  <si>
    <t>Mark</t>
  </si>
  <si>
    <t>Cappelli</t>
  </si>
  <si>
    <t>5/7/1990</t>
  </si>
  <si>
    <t>7/28/1953</t>
  </si>
  <si>
    <t>Hidefumi</t>
  </si>
  <si>
    <t>Caine</t>
  </si>
  <si>
    <t>10/15/1992</t>
  </si>
  <si>
    <t>8/15/1953</t>
  </si>
  <si>
    <t>Wonhee</t>
  </si>
  <si>
    <t>Talmon</t>
  </si>
  <si>
    <t>3/20/1985</t>
  </si>
  <si>
    <t>2/26/1961</t>
  </si>
  <si>
    <t>Heping</t>
  </si>
  <si>
    <t>Nitsch</t>
  </si>
  <si>
    <t>5/21/1988</t>
  </si>
  <si>
    <t>9/13/1954</t>
  </si>
  <si>
    <t>Sanjiv</t>
  </si>
  <si>
    <t>Zschoche</t>
  </si>
  <si>
    <t>2/4/1986</t>
  </si>
  <si>
    <t>6/4/1957</t>
  </si>
  <si>
    <t>Ziva</t>
  </si>
  <si>
    <t>Vecchi</t>
  </si>
  <si>
    <t>7/3/1986</t>
  </si>
  <si>
    <t>4/4/1957</t>
  </si>
  <si>
    <t>Mayumi</t>
  </si>
  <si>
    <t>Schueller</t>
  </si>
  <si>
    <t>3/13/1995</t>
  </si>
  <si>
    <t>6/6/1956</t>
  </si>
  <si>
    <t>Georgy</t>
  </si>
  <si>
    <t>4/27/1992</t>
  </si>
  <si>
    <t>10/17/1961</t>
  </si>
  <si>
    <t>Pantung</t>
  </si>
  <si>
    <t>Cools</t>
  </si>
  <si>
    <t>1/28/1994</t>
  </si>
  <si>
    <t>9/1/1961</t>
  </si>
  <si>
    <t>Brendon</t>
  </si>
  <si>
    <t>Bernini</t>
  </si>
  <si>
    <t>2/1/1990</t>
  </si>
  <si>
    <t>5/30/1954</t>
  </si>
  <si>
    <t>Ebbe</t>
  </si>
  <si>
    <t>Callaway</t>
  </si>
  <si>
    <t>1/15/1992</t>
  </si>
  <si>
    <t>S</t>
  </si>
  <si>
    <t>6/25/1964</t>
  </si>
  <si>
    <t>Piyawadee</t>
  </si>
  <si>
    <t>4/12/1990</t>
  </si>
  <si>
    <t>10/1/1954</t>
  </si>
  <si>
    <t>Berhard</t>
  </si>
  <si>
    <t>McFarlin</t>
  </si>
  <si>
    <t>4/13/1987</t>
  </si>
  <si>
    <t>9/19/1953</t>
  </si>
  <si>
    <t>6/26/1991</t>
  </si>
  <si>
    <t>1/11/1953</t>
  </si>
  <si>
    <t>Hairong</t>
  </si>
  <si>
    <t>Schaar</t>
  </si>
  <si>
    <t>12/24/1987</t>
  </si>
  <si>
    <t>10/15/1961</t>
  </si>
  <si>
    <t>Breannda</t>
  </si>
  <si>
    <t>Billingsley</t>
  </si>
  <si>
    <t>11/2/1987</t>
  </si>
  <si>
    <t>7/3/1954</t>
  </si>
  <si>
    <t>Mohit</t>
  </si>
  <si>
    <t>1/14/1986</t>
  </si>
  <si>
    <t>10/19/1962</t>
  </si>
  <si>
    <t>Tse</t>
  </si>
  <si>
    <t>Herber</t>
  </si>
  <si>
    <t>9/17/1985</t>
  </si>
  <si>
    <t>11/2/1961</t>
  </si>
  <si>
    <t>Anoosh</t>
  </si>
  <si>
    <t>Peyn</t>
  </si>
  <si>
    <t>8/30/1991</t>
  </si>
  <si>
    <t>2/16/1993</t>
  </si>
  <si>
    <t>1/2/1953</t>
  </si>
  <si>
    <t>Masali</t>
  </si>
  <si>
    <t>Bakhtari</t>
  </si>
  <si>
    <t>2/5/1991</t>
  </si>
  <si>
    <t>8/6/1952</t>
  </si>
  <si>
    <t>Gino</t>
  </si>
  <si>
    <t>Leonhardt</t>
  </si>
  <si>
    <t>4/7/1959</t>
  </si>
  <si>
    <t>Udi</t>
  </si>
  <si>
    <t>Jansch</t>
  </si>
  <si>
    <t>8/14/1956</t>
  </si>
  <si>
    <t>Christfried</t>
  </si>
  <si>
    <t>Kabayashi</t>
  </si>
  <si>
    <t>5/11/1987</t>
  </si>
  <si>
    <t>4/14/1963</t>
  </si>
  <si>
    <t>Satosi</t>
  </si>
  <si>
    <t>Awdeh</t>
  </si>
  <si>
    <t>5/18/1988</t>
  </si>
  <si>
    <t>11/13/1952</t>
  </si>
  <si>
    <t>Kwee</t>
  </si>
  <si>
    <t>Schusler</t>
  </si>
  <si>
    <t>2/26/1986</t>
  </si>
  <si>
    <t>4/13/1956</t>
  </si>
  <si>
    <t>Urs</t>
  </si>
  <si>
    <t>Saoudi</t>
  </si>
  <si>
    <t>9/2/1991</t>
  </si>
  <si>
    <t>1/7/1953</t>
  </si>
  <si>
    <t>Claudi</t>
  </si>
  <si>
    <t>Stavenow</t>
  </si>
  <si>
    <t>3/4/1987</t>
  </si>
  <si>
    <t>11/26/1962</t>
  </si>
  <si>
    <t>Charlene</t>
  </si>
  <si>
    <t>Brattka</t>
  </si>
  <si>
    <t>8/7/1987</t>
  </si>
  <si>
    <t>8/28/1958</t>
  </si>
  <si>
    <t>Phuoc</t>
  </si>
  <si>
    <t>Antonisse</t>
  </si>
  <si>
    <t>2/18/1993</t>
  </si>
  <si>
    <t>9/6/1960</t>
  </si>
  <si>
    <t>Margareta</t>
  </si>
  <si>
    <t>Bierman</t>
  </si>
  <si>
    <t>11/5/1989</t>
  </si>
  <si>
    <t>8/20/1955</t>
  </si>
  <si>
    <t>Reuven</t>
  </si>
  <si>
    <t>Garigliano</t>
  </si>
  <si>
    <t>10/14/1985</t>
  </si>
  <si>
    <t>5/22/1958</t>
  </si>
  <si>
    <t>Shaunak</t>
  </si>
  <si>
    <t>Pettit</t>
  </si>
  <si>
    <t>7/19/1994</t>
  </si>
  <si>
    <t>11/14/2000</t>
  </si>
  <si>
    <t>1/21/1958</t>
  </si>
  <si>
    <t>Hisao</t>
  </si>
  <si>
    <t>Lipner</t>
  </si>
  <si>
    <t>10/1/1987</t>
  </si>
  <si>
    <t>2/13/1957</t>
  </si>
  <si>
    <t>Chinal</t>
  </si>
  <si>
    <t>1/8/1990</t>
  </si>
  <si>
    <t>5/15/1952</t>
  </si>
  <si>
    <t>Hironoby</t>
  </si>
  <si>
    <t>Sidou</t>
  </si>
  <si>
    <t>7/21/1988</t>
  </si>
  <si>
    <t>2/23/1954</t>
  </si>
  <si>
    <t>Shir</t>
  </si>
  <si>
    <t>McClurg</t>
  </si>
  <si>
    <t>12/1/1991</t>
  </si>
  <si>
    <t>2/14/1960</t>
  </si>
  <si>
    <t>Owen</t>
  </si>
  <si>
    <t>Hiraishi</t>
  </si>
  <si>
    <t>8/7/1985</t>
  </si>
  <si>
    <t>8/28/1955</t>
  </si>
  <si>
    <t>Mokhtar</t>
  </si>
  <si>
    <t>Bernatsky</t>
  </si>
  <si>
    <t>8/13/1990</t>
  </si>
  <si>
    <t>5/22/1995</t>
  </si>
  <si>
    <t>3/9/1960</t>
  </si>
  <si>
    <t>Gao</t>
  </si>
  <si>
    <t>Dolinsky</t>
  </si>
  <si>
    <t>3/19/1987</t>
  </si>
  <si>
    <t>3/6/1952</t>
  </si>
  <si>
    <t>Valette</t>
  </si>
  <si>
    <t>2/16/1994</t>
  </si>
  <si>
    <t>6/13/1952</t>
  </si>
  <si>
    <t>Erez</t>
  </si>
  <si>
    <t>Ritzmann</t>
  </si>
  <si>
    <t>7/9/1985</t>
  </si>
  <si>
    <t>4/18/1964</t>
  </si>
  <si>
    <t>Mona</t>
  </si>
  <si>
    <t>Azuma</t>
  </si>
  <si>
    <t>3/2/1990</t>
  </si>
  <si>
    <t>1/10/1964</t>
  </si>
  <si>
    <t>Mechthild</t>
  </si>
  <si>
    <t>Gihr</t>
  </si>
  <si>
    <t>5/10/1995</t>
  </si>
  <si>
    <t>5/11/2007</t>
  </si>
  <si>
    <t>12/25/1959</t>
  </si>
  <si>
    <t>Danel</t>
  </si>
  <si>
    <t>Mondadori</t>
  </si>
  <si>
    <t>5/26/1987</t>
  </si>
  <si>
    <t>10/5/1961</t>
  </si>
  <si>
    <t>Kshitij</t>
  </si>
  <si>
    <t>Gils</t>
  </si>
  <si>
    <t>3/27/1986</t>
  </si>
  <si>
    <t>2/4/1958</t>
  </si>
  <si>
    <t>Gad</t>
  </si>
  <si>
    <t>Nollmann</t>
  </si>
  <si>
    <t>10/1/1985</t>
  </si>
  <si>
    <t>12/3/1957</t>
  </si>
  <si>
    <t>Premal</t>
  </si>
  <si>
    <t>Baek</t>
  </si>
  <si>
    <t>11/19/1985</t>
  </si>
  <si>
    <t>12/2/1963</t>
  </si>
  <si>
    <t>Shigeu</t>
  </si>
  <si>
    <t>Masamoto</t>
  </si>
  <si>
    <t>8/27/1989</t>
  </si>
  <si>
    <t>12/17/1960</t>
  </si>
  <si>
    <t>Zhongwei</t>
  </si>
  <si>
    <t>Rosen</t>
  </si>
  <si>
    <t>10/30/1986</t>
  </si>
  <si>
    <t>9/9/1963</t>
  </si>
  <si>
    <t>Parviz</t>
  </si>
  <si>
    <t>1/3/1990</t>
  </si>
  <si>
    <t>4/15/2000</t>
  </si>
  <si>
    <t>8/6/1957</t>
  </si>
  <si>
    <t>Gladys</t>
  </si>
  <si>
    <t>Yoshimura</t>
  </si>
  <si>
    <t>7/23/1990</t>
  </si>
  <si>
    <t>7/23/1959</t>
  </si>
  <si>
    <t>Vishv</t>
  </si>
  <si>
    <t>Zockler</t>
  </si>
  <si>
    <t>3/31/1987</t>
  </si>
  <si>
    <t>5/25/1960</t>
  </si>
  <si>
    <t>Tuval</t>
  </si>
  <si>
    <t>12/15/1995</t>
  </si>
  <si>
    <t>1/20/1956</t>
  </si>
  <si>
    <t>Giap</t>
  </si>
  <si>
    <t>Verspoor</t>
  </si>
  <si>
    <t>3/17/1990</t>
  </si>
  <si>
    <t>11/7/1962</t>
  </si>
  <si>
    <t>Kenroku</t>
  </si>
  <si>
    <t>Malabarba</t>
  </si>
  <si>
    <t>4/9/1994</t>
  </si>
  <si>
    <t>11/19/1962</t>
  </si>
  <si>
    <t>Somnath</t>
  </si>
  <si>
    <t>Foote</t>
  </si>
  <si>
    <t>2/16/1990</t>
  </si>
  <si>
    <t>2/15/1964</t>
  </si>
  <si>
    <t>Munehiko</t>
  </si>
  <si>
    <t>Janocha</t>
  </si>
  <si>
    <t>12/11/1988</t>
  </si>
  <si>
    <t>Xinglin</t>
  </si>
  <si>
    <t>Eugenio</t>
  </si>
  <si>
    <t>9/8/1986</t>
  </si>
  <si>
    <t>2/25/1954</t>
  </si>
  <si>
    <t>Jungsoon</t>
  </si>
  <si>
    <t>Syrzycki</t>
  </si>
  <si>
    <t>9/2/1988</t>
  </si>
  <si>
    <t>6/18/1998</t>
  </si>
  <si>
    <t>3/21/1963</t>
  </si>
  <si>
    <t>Sudharsan</t>
  </si>
  <si>
    <t>Flasterstein</t>
  </si>
  <si>
    <t>8/12/1986</t>
  </si>
  <si>
    <t>8/4/1953</t>
  </si>
  <si>
    <t>Shaowen</t>
  </si>
  <si>
    <t>Krone</t>
  </si>
  <si>
    <t>11/18/1990</t>
  </si>
  <si>
    <t>5/30/1961</t>
  </si>
  <si>
    <t>Kendra</t>
  </si>
  <si>
    <t>Hofting</t>
  </si>
  <si>
    <t>3/14/1986</t>
  </si>
  <si>
    <t>10/4/1955</t>
  </si>
  <si>
    <t>Amabile</t>
  </si>
  <si>
    <t>Gomatam</t>
  </si>
  <si>
    <t>11/18/1992</t>
  </si>
  <si>
    <t>3/29/1958</t>
  </si>
  <si>
    <t>Martins</t>
  </si>
  <si>
    <t>Wynblatt</t>
  </si>
  <si>
    <t>2/15/1992</t>
  </si>
  <si>
    <t>10/18/1964</t>
  </si>
  <si>
    <t>Valdiodio</t>
  </si>
  <si>
    <t>Niizuma</t>
  </si>
  <si>
    <t>9/22/1989</t>
  </si>
  <si>
    <t>6/11/1964</t>
  </si>
  <si>
    <t>Sailaja</t>
  </si>
  <si>
    <t>Desikan</t>
  </si>
  <si>
    <t>11/5/1996</t>
  </si>
  <si>
    <t>10/10/1964</t>
  </si>
  <si>
    <t>Basem</t>
  </si>
  <si>
    <t>Imataki</t>
  </si>
  <si>
    <t>7/1/1987</t>
  </si>
  <si>
    <t>5/25/1957</t>
  </si>
  <si>
    <t>Arumugam</t>
  </si>
  <si>
    <t>Ossenbruggen</t>
  </si>
  <si>
    <t>4/18/1987</t>
  </si>
  <si>
    <t>1/3/1965</t>
  </si>
  <si>
    <t>Hilari</t>
  </si>
  <si>
    <t>Morton</t>
  </si>
  <si>
    <t>7/15/1986</t>
  </si>
  <si>
    <t>12/3/1952</t>
  </si>
  <si>
    <t>Zhonghui</t>
  </si>
  <si>
    <t>Gyimothy</t>
  </si>
  <si>
    <t>3/2/1989</t>
  </si>
  <si>
    <t>9/16/1954</t>
  </si>
  <si>
    <t>Jayson</t>
  </si>
  <si>
    <t>Mandell</t>
  </si>
  <si>
    <t>1/14/1990</t>
  </si>
  <si>
    <t>2/27/1952</t>
  </si>
  <si>
    <t>Remzi</t>
  </si>
  <si>
    <t>Waschkowski</t>
  </si>
  <si>
    <t>9/15/1990</t>
  </si>
  <si>
    <t>9/23/1961</t>
  </si>
  <si>
    <t>Sreekrishna</t>
  </si>
  <si>
    <t>Servieres</t>
  </si>
  <si>
    <t>5/13/1985</t>
  </si>
  <si>
    <t>12/2/1964</t>
  </si>
  <si>
    <t>Karoline</t>
  </si>
  <si>
    <t>Matzov</t>
  </si>
  <si>
    <t>8/6/1987</t>
  </si>
  <si>
    <t>5/25/1956</t>
  </si>
  <si>
    <t>Valter</t>
  </si>
  <si>
    <t>Sullins</t>
  </si>
  <si>
    <t>10/18/1988</t>
  </si>
  <si>
    <t>4/21/1953</t>
  </si>
  <si>
    <t>Hironobu</t>
  </si>
  <si>
    <t>Haraldson</t>
  </si>
  <si>
    <t>9/21/1987</t>
  </si>
  <si>
    <t>Rosalie</t>
  </si>
  <si>
    <t>Rousseau</t>
  </si>
  <si>
    <t>11/7/1998</t>
  </si>
  <si>
    <t>4/15/1952</t>
  </si>
  <si>
    <t>Perla</t>
  </si>
  <si>
    <t>12/28/1992</t>
  </si>
  <si>
    <t>11/4/1959</t>
  </si>
  <si>
    <t>Paraskevi</t>
  </si>
  <si>
    <t>Luby</t>
  </si>
  <si>
    <t>1/26/1994</t>
  </si>
  <si>
    <t>1/15/2003</t>
  </si>
  <si>
    <t>8/25/1960</t>
  </si>
  <si>
    <t>Masoud</t>
  </si>
  <si>
    <t>Peroz</t>
  </si>
  <si>
    <t>9/30/1989</t>
  </si>
  <si>
    <t>11/26/1953</t>
  </si>
  <si>
    <t>Akemi</t>
  </si>
  <si>
    <t>Birch</t>
  </si>
  <si>
    <t>12/2/1986</t>
  </si>
  <si>
    <t>11/19/1961</t>
  </si>
  <si>
    <t>Xinyu</t>
  </si>
  <si>
    <t>4/16/1987</t>
  </si>
  <si>
    <t>4/29/1952</t>
  </si>
  <si>
    <t>Kolar</t>
  </si>
  <si>
    <t>Carrere</t>
  </si>
  <si>
    <t>6/30/1987</t>
  </si>
  <si>
    <t>2/5/1962</t>
  </si>
  <si>
    <t>3/23/1999</t>
  </si>
  <si>
    <t>8/29/1952</t>
  </si>
  <si>
    <t>Eben</t>
  </si>
  <si>
    <t>Aingworth</t>
  </si>
  <si>
    <t>12/19/1990</t>
  </si>
  <si>
    <t>3/10/1962</t>
  </si>
  <si>
    <t>Qunsheng</t>
  </si>
  <si>
    <t>Speer</t>
  </si>
  <si>
    <t>2/13/1986</t>
  </si>
  <si>
    <t>6/13/1956</t>
  </si>
  <si>
    <t>Dung</t>
  </si>
  <si>
    <t>Baca</t>
  </si>
  <si>
    <t>3/22/1994</t>
  </si>
  <si>
    <t>4/7/1952</t>
  </si>
  <si>
    <t>Lunjin</t>
  </si>
  <si>
    <t>Giveon</t>
  </si>
  <si>
    <t>10/2/1986</t>
  </si>
  <si>
    <t>7/10/1958</t>
  </si>
  <si>
    <t>Limsoon</t>
  </si>
  <si>
    <t>Beznosov</t>
  </si>
  <si>
    <t>2/9/1992</t>
  </si>
  <si>
    <t>Mariusz</t>
  </si>
  <si>
    <t>Prampolini</t>
  </si>
  <si>
    <t>6/16/1993</t>
  </si>
  <si>
    <t>3/19/1957</t>
  </si>
  <si>
    <t>Serenella</t>
  </si>
  <si>
    <t>Kamber</t>
  </si>
  <si>
    <t>9/14/1988</t>
  </si>
  <si>
    <t>3/7/1957</t>
  </si>
  <si>
    <t>Xuejia</t>
  </si>
  <si>
    <t>Ullian</t>
  </si>
  <si>
    <t>8/22/1986</t>
  </si>
  <si>
    <t>8/29/1963</t>
  </si>
  <si>
    <t>Hugo</t>
  </si>
  <si>
    <t>Rosis</t>
  </si>
  <si>
    <t>6/19/1988</t>
  </si>
  <si>
    <t>10/3/1952</t>
  </si>
  <si>
    <t>Hitomi</t>
  </si>
  <si>
    <t>Gunderson</t>
  </si>
  <si>
    <t>11/22/1987</t>
  </si>
  <si>
    <t>8/13/1963</t>
  </si>
  <si>
    <t>Yuichiro</t>
  </si>
  <si>
    <t>Swick</t>
  </si>
  <si>
    <t>10/8/1985</t>
  </si>
  <si>
    <t>11/13/1963</t>
  </si>
  <si>
    <t>Jaewon</t>
  </si>
  <si>
    <t>12/24/1989</t>
  </si>
  <si>
    <t>7/5/1953</t>
  </si>
  <si>
    <t>Dines</t>
  </si>
  <si>
    <t>Encarnacion</t>
  </si>
  <si>
    <t>8/2/1986</t>
  </si>
  <si>
    <t>2/16/1957</t>
  </si>
  <si>
    <t>Munir</t>
  </si>
  <si>
    <t>7/17/1992</t>
  </si>
  <si>
    <t>12/25/1964</t>
  </si>
  <si>
    <t>Chikara</t>
  </si>
  <si>
    <t>Rissland</t>
  </si>
  <si>
    <t>1/23/1986</t>
  </si>
  <si>
    <t>12/12/1957</t>
  </si>
  <si>
    <t>Harngdar</t>
  </si>
  <si>
    <t>5/28/1986</t>
  </si>
  <si>
    <t>8/26/1955</t>
  </si>
  <si>
    <t>Dayanand</t>
  </si>
  <si>
    <t>Czap</t>
  </si>
  <si>
    <t>5/28/1985</t>
  </si>
  <si>
    <t>1/30/1959</t>
  </si>
  <si>
    <t>Nectarios</t>
  </si>
  <si>
    <t>Covnot</t>
  </si>
  <si>
    <t>4/24/1990</t>
  </si>
  <si>
    <t>10/24/1961</t>
  </si>
  <si>
    <t>Kiyotoshi</t>
  </si>
  <si>
    <t>Blokdijk</t>
  </si>
  <si>
    <t>5/28/1990</t>
  </si>
  <si>
    <t>3/29/1957</t>
  </si>
  <si>
    <t>Zyda</t>
  </si>
  <si>
    <t>9/13/1990</t>
  </si>
  <si>
    <t>12/14/1960</t>
  </si>
  <si>
    <t>Ratzlaff</t>
  </si>
  <si>
    <t>2/10/1995</t>
  </si>
  <si>
    <t>2/17/1997</t>
  </si>
  <si>
    <t>12/1/1960</t>
  </si>
  <si>
    <t>Peltason</t>
  </si>
  <si>
    <t>3/26/1960</t>
  </si>
  <si>
    <t>Armond</t>
  </si>
  <si>
    <t>Fairtlough</t>
  </si>
  <si>
    <t>7/6/1996</t>
  </si>
  <si>
    <t>10/14/1959</t>
  </si>
  <si>
    <t>Leni</t>
  </si>
  <si>
    <t>Pusterhofer</t>
  </si>
  <si>
    <t>1/29/1995</t>
  </si>
  <si>
    <t>7/14/1962</t>
  </si>
  <si>
    <t>Ramsay</t>
  </si>
  <si>
    <t>5/3/1989</t>
  </si>
  <si>
    <t>1/19/1965</t>
  </si>
  <si>
    <t>Ohad</t>
  </si>
  <si>
    <t>Esposito</t>
  </si>
  <si>
    <t>12/23/1992</t>
  </si>
  <si>
    <t>10/10/1953</t>
  </si>
  <si>
    <t>Freyja</t>
  </si>
  <si>
    <t>Uhrig</t>
  </si>
  <si>
    <t>12/20/1986</t>
  </si>
  <si>
    <t>5/12/1962</t>
  </si>
  <si>
    <t>Hinrich</t>
  </si>
  <si>
    <t>Randi</t>
  </si>
  <si>
    <t>1/15/1993</t>
  </si>
  <si>
    <t>5/23/1962</t>
  </si>
  <si>
    <t>Geraldo</t>
  </si>
  <si>
    <t>Marwedel</t>
  </si>
  <si>
    <t>9/5/1991</t>
  </si>
  <si>
    <t>9/18/1956</t>
  </si>
  <si>
    <t>Zhenhua</t>
  </si>
  <si>
    <t>Milicic</t>
  </si>
  <si>
    <t>8/4/1986</t>
  </si>
  <si>
    <t>9/13/1957</t>
  </si>
  <si>
    <t>Syozo</t>
  </si>
  <si>
    <t>Hiltgen</t>
  </si>
  <si>
    <t>10/26/1990</t>
  </si>
  <si>
    <t>3/13/1952</t>
  </si>
  <si>
    <t>Bowen</t>
  </si>
  <si>
    <t>Schmezko</t>
  </si>
  <si>
    <t>5/30/1986</t>
  </si>
  <si>
    <t>8/7/1954</t>
  </si>
  <si>
    <t>Kayoko</t>
  </si>
  <si>
    <t>Valtorta</t>
  </si>
  <si>
    <t>9/8/1985</t>
  </si>
  <si>
    <t>2/24/1952</t>
  </si>
  <si>
    <t>Subir</t>
  </si>
  <si>
    <t>Baja</t>
  </si>
  <si>
    <t>1/14/1989</t>
  </si>
  <si>
    <t>6/1/1995</t>
  </si>
  <si>
    <t>9/27/1959</t>
  </si>
  <si>
    <t>Shiv</t>
  </si>
  <si>
    <t>Narlikar</t>
  </si>
  <si>
    <t>9/3/1987</t>
  </si>
  <si>
    <t>4/18/1997</t>
  </si>
  <si>
    <t>2/15/1958</t>
  </si>
  <si>
    <t>Babette</t>
  </si>
  <si>
    <t>Lamba</t>
  </si>
  <si>
    <t>6/6/1988</t>
  </si>
  <si>
    <t>12/2/1955</t>
  </si>
  <si>
    <t>Peir</t>
  </si>
  <si>
    <t>12/10/1985</t>
  </si>
  <si>
    <t>11/24/1952</t>
  </si>
  <si>
    <t>Chikako</t>
  </si>
  <si>
    <t>Veevers</t>
  </si>
  <si>
    <t>7/10/1988</t>
  </si>
  <si>
    <t>4/27/1955</t>
  </si>
  <si>
    <t>Nishit</t>
  </si>
  <si>
    <t>Casperson</t>
  </si>
  <si>
    <t>6/21/1988</t>
  </si>
  <si>
    <t>2/19/1952</t>
  </si>
  <si>
    <t>Magdalena</t>
  </si>
  <si>
    <t>Eldridge</t>
  </si>
  <si>
    <t>11/17/1994</t>
  </si>
  <si>
    <t>2/21/1964</t>
  </si>
  <si>
    <t>Kazuhira</t>
  </si>
  <si>
    <t>Shimshoni</t>
  </si>
  <si>
    <t>4/15/1987</t>
  </si>
  <si>
    <t>12/15/1956</t>
  </si>
  <si>
    <t>Ayakannu</t>
  </si>
  <si>
    <t>Skrikant</t>
  </si>
  <si>
    <t>10/30/1994</t>
  </si>
  <si>
    <t>12/12/1963</t>
  </si>
  <si>
    <t>Giri</t>
  </si>
  <si>
    <t>Isaak</t>
  </si>
  <si>
    <t>12/15/1985</t>
  </si>
  <si>
    <t>2/24/1961</t>
  </si>
  <si>
    <t>Leen</t>
  </si>
  <si>
    <t>Pappas</t>
  </si>
  <si>
    <t>11/19/1989</t>
  </si>
  <si>
    <t>4/15/1953</t>
  </si>
  <si>
    <t>Diederik</t>
  </si>
  <si>
    <t>Siprelle</t>
  </si>
  <si>
    <t>12/12/1987</t>
  </si>
  <si>
    <t>12/26/1958</t>
  </si>
  <si>
    <t>Changho</t>
  </si>
  <si>
    <t>Pietracaprina</t>
  </si>
  <si>
    <t>2/13/1992</t>
  </si>
  <si>
    <t>12/23/1956</t>
  </si>
  <si>
    <t>Nathan</t>
  </si>
  <si>
    <t>Monkewich</t>
  </si>
  <si>
    <t>2/19/1988</t>
  </si>
  <si>
    <t>9/14/1961</t>
  </si>
  <si>
    <t>Zissis</t>
  </si>
  <si>
    <t>Pintelas</t>
  </si>
  <si>
    <t>2/11/1986</t>
  </si>
  <si>
    <t>11/24/1960</t>
  </si>
  <si>
    <t>Pramanik</t>
  </si>
  <si>
    <t>12/27/1992</t>
  </si>
  <si>
    <t>7/30/1959</t>
  </si>
  <si>
    <t>Maren</t>
  </si>
  <si>
    <t>Hutton</t>
  </si>
  <si>
    <t>4/24/1955</t>
  </si>
  <si>
    <t>9/18/1986</t>
  </si>
  <si>
    <t>8/8/1952</t>
  </si>
  <si>
    <t>Chinin</t>
  </si>
  <si>
    <t>7/1/1990</t>
  </si>
  <si>
    <t>8/28/1993</t>
  </si>
  <si>
    <t>3/3/1963</t>
  </si>
  <si>
    <t>Ewing</t>
  </si>
  <si>
    <t>Foong</t>
  </si>
  <si>
    <t>3/15/1998</t>
  </si>
  <si>
    <t>3/11/1957</t>
  </si>
  <si>
    <t>Yucel</t>
  </si>
  <si>
    <t>Auria</t>
  </si>
  <si>
    <t>3/14/1991</t>
  </si>
  <si>
    <t>7/28/1964</t>
  </si>
  <si>
    <t>Reinhard</t>
  </si>
  <si>
    <t>Gischer</t>
  </si>
  <si>
    <t>1/12/1999</t>
  </si>
  <si>
    <t>1/17/1960</t>
  </si>
  <si>
    <t>Ishibashi</t>
  </si>
  <si>
    <t>5/6/1993</t>
  </si>
  <si>
    <t>4/13/2004</t>
  </si>
  <si>
    <t>8/29/1956</t>
  </si>
  <si>
    <t>Hettesheimer</t>
  </si>
  <si>
    <t>10/28/1993</t>
  </si>
  <si>
    <t>3/28/1959</t>
  </si>
  <si>
    <t>Shem</t>
  </si>
  <si>
    <t>Kroha</t>
  </si>
  <si>
    <t>9/22/1994</t>
  </si>
  <si>
    <t>7/16/1961</t>
  </si>
  <si>
    <t>Sakthirel</t>
  </si>
  <si>
    <t>9/30/1988</t>
  </si>
  <si>
    <t>6/17/1959</t>
  </si>
  <si>
    <t>Marla</t>
  </si>
  <si>
    <t>Brendel</t>
  </si>
  <si>
    <t>6/20/1964</t>
  </si>
  <si>
    <t>Kauko</t>
  </si>
  <si>
    <t>12/8/1990</t>
  </si>
  <si>
    <t>3/30/1956</t>
  </si>
  <si>
    <t>8/1/1987</t>
  </si>
  <si>
    <t>1/12/1959</t>
  </si>
  <si>
    <t>Chenyi</t>
  </si>
  <si>
    <t>Syang</t>
  </si>
  <si>
    <t>6/28/1988</t>
  </si>
  <si>
    <t>10/13/1964</t>
  </si>
  <si>
    <t>8/21/1986</t>
  </si>
  <si>
    <t>6/11/1959</t>
  </si>
  <si>
    <t>Percy</t>
  </si>
  <si>
    <t>Litecky</t>
  </si>
  <si>
    <t>8/16/1993</t>
  </si>
  <si>
    <t>10/4/1957</t>
  </si>
  <si>
    <t>Douadi</t>
  </si>
  <si>
    <t>Azumi</t>
  </si>
  <si>
    <t>10/10/1995</t>
  </si>
  <si>
    <t>5/20/1953</t>
  </si>
  <si>
    <t>Xiadong</t>
  </si>
  <si>
    <t>11/5/1986</t>
  </si>
  <si>
    <t>12/14/1962</t>
  </si>
  <si>
    <t>Gilbert</t>
  </si>
  <si>
    <t>Naumovich</t>
  </si>
  <si>
    <t>9/19/1992</t>
  </si>
  <si>
    <t>1/29/1955</t>
  </si>
  <si>
    <t>Zhenbing</t>
  </si>
  <si>
    <t>Perng</t>
  </si>
  <si>
    <t>11/16/1986</t>
  </si>
  <si>
    <t>3/6/1959</t>
  </si>
  <si>
    <t>Itzchak</t>
  </si>
  <si>
    <t>Lichtner</t>
  </si>
  <si>
    <t>4/10/1990</t>
  </si>
  <si>
    <t>6/12/1954</t>
  </si>
  <si>
    <t>Munke</t>
  </si>
  <si>
    <t>4/13/1986</t>
  </si>
  <si>
    <t>12/1/1954</t>
  </si>
  <si>
    <t>Jaques</t>
  </si>
  <si>
    <t>Munro</t>
  </si>
  <si>
    <t>1/27/1986</t>
  </si>
  <si>
    <t>12/15/1955</t>
  </si>
  <si>
    <t>Heekeun</t>
  </si>
  <si>
    <t>Majewski</t>
  </si>
  <si>
    <t>4/8/1987</t>
  </si>
  <si>
    <t>3/18/1963</t>
  </si>
  <si>
    <t>Khalil</t>
  </si>
  <si>
    <t>Gniady</t>
  </si>
  <si>
    <t>12/4/1990</t>
  </si>
  <si>
    <t>1/17/1957</t>
  </si>
  <si>
    <t>Thibadeau</t>
  </si>
  <si>
    <t>12/12/1990</t>
  </si>
  <si>
    <t>12/7/1959</t>
  </si>
  <si>
    <t>Adas</t>
  </si>
  <si>
    <t>Nastansky</t>
  </si>
  <si>
    <t>1/5/1990</t>
  </si>
  <si>
    <t>2/3/1960</t>
  </si>
  <si>
    <t>Fayez</t>
  </si>
  <si>
    <t>Harllee</t>
  </si>
  <si>
    <t>1/1/1987</t>
  </si>
  <si>
    <t>Sumali</t>
  </si>
  <si>
    <t>Fargier</t>
  </si>
  <si>
    <t>3/10/1985</t>
  </si>
  <si>
    <t>Crouzet</t>
  </si>
  <si>
    <t>6/10/1994</t>
  </si>
  <si>
    <t>4/23/1954</t>
  </si>
  <si>
    <t>Nigel</t>
  </si>
  <si>
    <t>Aloisi</t>
  </si>
  <si>
    <t>11/2/1985</t>
  </si>
  <si>
    <t>4/1/1958</t>
  </si>
  <si>
    <t>Khedija</t>
  </si>
  <si>
    <t>Mitsuhashi</t>
  </si>
  <si>
    <t>1/29/1986</t>
  </si>
  <si>
    <t>4/25/1988</t>
  </si>
  <si>
    <t>7/11/1955</t>
  </si>
  <si>
    <t>Tsuneo</t>
  </si>
  <si>
    <t>Matzat</t>
  </si>
  <si>
    <t>1/7/1989</t>
  </si>
  <si>
    <t>3/3/1955</t>
  </si>
  <si>
    <t>Serif</t>
  </si>
  <si>
    <t>Buescher</t>
  </si>
  <si>
    <t>5/29/1991</t>
  </si>
  <si>
    <t>10/18/1953</t>
  </si>
  <si>
    <t>Debatosh</t>
  </si>
  <si>
    <t>Khasidashvili</t>
  </si>
  <si>
    <t>1/30/1989</t>
  </si>
  <si>
    <t>9/29/1958</t>
  </si>
  <si>
    <t>Tonny</t>
  </si>
  <si>
    <t>Skafidas</t>
  </si>
  <si>
    <t>6/20/1988</t>
  </si>
  <si>
    <t>4/6/1953</t>
  </si>
  <si>
    <t>Mellouli</t>
  </si>
  <si>
    <t>4/3/1988</t>
  </si>
  <si>
    <t>10/5/1957</t>
  </si>
  <si>
    <t>Florina</t>
  </si>
  <si>
    <t>5/1/1991</t>
  </si>
  <si>
    <t>4/5/1954</t>
  </si>
  <si>
    <t>Bangqing</t>
  </si>
  <si>
    <t>Pehl</t>
  </si>
  <si>
    <t>9/30/1996</t>
  </si>
  <si>
    <t>9/17/1952</t>
  </si>
  <si>
    <t>Szmurlo</t>
  </si>
  <si>
    <t>7/19/1989</t>
  </si>
  <si>
    <t>1/19/1956</t>
  </si>
  <si>
    <t>Jagoda</t>
  </si>
  <si>
    <t>Braunmuhl</t>
  </si>
  <si>
    <t>11/12/1985</t>
  </si>
  <si>
    <t>12/21/1953</t>
  </si>
  <si>
    <t>Zaumen</t>
  </si>
  <si>
    <t>4/4/1987</t>
  </si>
  <si>
    <t>6/16/1960</t>
  </si>
  <si>
    <t>Miyeon</t>
  </si>
  <si>
    <t>Macedo</t>
  </si>
  <si>
    <t>5/17/1988</t>
  </si>
  <si>
    <t>9/26/1962</t>
  </si>
  <si>
    <t>Sashi</t>
  </si>
  <si>
    <t>Danlos</t>
  </si>
  <si>
    <t>1/30/1998</t>
  </si>
  <si>
    <t>5/10/1953</t>
  </si>
  <si>
    <t>Samphel</t>
  </si>
  <si>
    <t>Siegrist</t>
  </si>
  <si>
    <t>1/1/1993</t>
  </si>
  <si>
    <t>5/23/1958</t>
  </si>
  <si>
    <t>Rassart</t>
  </si>
  <si>
    <t>4/4/1992</t>
  </si>
  <si>
    <t>8/17/1953</t>
  </si>
  <si>
    <t>KayLiang</t>
  </si>
  <si>
    <t>Trachtenberg</t>
  </si>
  <si>
    <t>5/2/1988</t>
  </si>
  <si>
    <t>9/11/1964</t>
  </si>
  <si>
    <t>Dharmaraja</t>
  </si>
  <si>
    <t>Stassinopoulos</t>
  </si>
  <si>
    <t>12/6/1986</t>
  </si>
  <si>
    <t>5/3/1961</t>
  </si>
  <si>
    <t>Sampalli</t>
  </si>
  <si>
    <t>Snedden</t>
  </si>
  <si>
    <t>7/24/1992</t>
  </si>
  <si>
    <t>7/3/1955</t>
  </si>
  <si>
    <t>Yechezkel</t>
  </si>
  <si>
    <t>Pews</t>
  </si>
  <si>
    <t>1/20/1992</t>
  </si>
  <si>
    <t>10/3/1960</t>
  </si>
  <si>
    <t>Kasturi</t>
  </si>
  <si>
    <t>Jenevein</t>
  </si>
  <si>
    <t>1/2/1986</t>
  </si>
  <si>
    <t>9/11/1957</t>
  </si>
  <si>
    <t>Herbert</t>
  </si>
  <si>
    <t>7/22/1989</t>
  </si>
  <si>
    <t>4/5/1953</t>
  </si>
  <si>
    <t>Feipei</t>
  </si>
  <si>
    <t>Hasenauer</t>
  </si>
  <si>
    <t>3/5/1995</t>
  </si>
  <si>
    <t>3/25/1957</t>
  </si>
  <si>
    <t>Matzen</t>
  </si>
  <si>
    <t>10/13/1995</t>
  </si>
  <si>
    <t>10/28/1962</t>
  </si>
  <si>
    <t>Shrikanth</t>
  </si>
  <si>
    <t>Mahmud</t>
  </si>
  <si>
    <t>5/15/1959</t>
  </si>
  <si>
    <t>Badri</t>
  </si>
  <si>
    <t>Furudate</t>
  </si>
  <si>
    <t>6/1/1987</t>
  </si>
  <si>
    <t>9/20/1963</t>
  </si>
  <si>
    <t>Stabislas</t>
  </si>
  <si>
    <t>Domenig</t>
  </si>
  <si>
    <t>1/11/1960</t>
  </si>
  <si>
    <t>Aleksandar</t>
  </si>
  <si>
    <t>Ananiadou</t>
  </si>
  <si>
    <t>1/11/1988</t>
  </si>
  <si>
    <t>1/24/1957</t>
  </si>
  <si>
    <t>12/22/1994</t>
  </si>
  <si>
    <t>8/22/1961</t>
  </si>
  <si>
    <t>Gregory</t>
  </si>
  <si>
    <t>Zedlitz</t>
  </si>
  <si>
    <t>7/10/1993</t>
  </si>
  <si>
    <t>11/8/1954</t>
  </si>
  <si>
    <t>Pragnesh</t>
  </si>
  <si>
    <t>Iisaka</t>
  </si>
  <si>
    <t>2/6/1993</t>
  </si>
  <si>
    <t>3/13/1963</t>
  </si>
  <si>
    <t>Valery</t>
  </si>
  <si>
    <t>Litvinov</t>
  </si>
  <si>
    <t>10/7/1986</t>
  </si>
  <si>
    <t>11/6/1961</t>
  </si>
  <si>
    <t>Jayesh</t>
  </si>
  <si>
    <t>Merel</t>
  </si>
  <si>
    <t>9/26/1992</t>
  </si>
  <si>
    <t>11/25/1961</t>
  </si>
  <si>
    <t>Deniz</t>
  </si>
  <si>
    <t>Duclos</t>
  </si>
  <si>
    <t>10/4/1990</t>
  </si>
  <si>
    <t>1/29/1956</t>
  </si>
  <si>
    <t>Shaw</t>
  </si>
  <si>
    <t>Wendorf</t>
  </si>
  <si>
    <t>2/25/1986</t>
  </si>
  <si>
    <t>7/15/1952</t>
  </si>
  <si>
    <t>Felicidad</t>
  </si>
  <si>
    <t>Waymire</t>
  </si>
  <si>
    <t>1/15/1988</t>
  </si>
  <si>
    <t>1/22/1963</t>
  </si>
  <si>
    <t>Sibyl</t>
  </si>
  <si>
    <t>6/22/1988</t>
  </si>
  <si>
    <t>2/4/1961</t>
  </si>
  <si>
    <t>Moriyoshi</t>
  </si>
  <si>
    <t>Merey</t>
  </si>
  <si>
    <t>9/2/1990</t>
  </si>
  <si>
    <t>8/13/1960</t>
  </si>
  <si>
    <t>Businaro</t>
  </si>
  <si>
    <t>1/4/1987</t>
  </si>
  <si>
    <t>10/17/1954</t>
  </si>
  <si>
    <t>Bonifati</t>
  </si>
  <si>
    <t>8/11/1996</t>
  </si>
  <si>
    <t>8/3/1962</t>
  </si>
  <si>
    <t>Candido</t>
  </si>
  <si>
    <t>8/27/1995</t>
  </si>
  <si>
    <t>5/22/1957</t>
  </si>
  <si>
    <t>Mihalis</t>
  </si>
  <si>
    <t>Lowrie</t>
  </si>
  <si>
    <t>12/5/1959</t>
  </si>
  <si>
    <t>Duro</t>
  </si>
  <si>
    <t>Sidhu</t>
  </si>
  <si>
    <t>3/1/1986</t>
  </si>
  <si>
    <t>7/16/1953</t>
  </si>
  <si>
    <t>Shigehito</t>
  </si>
  <si>
    <t>Kropatsch</t>
  </si>
  <si>
    <t>3/28/1986</t>
  </si>
  <si>
    <t>5/26/1961</t>
  </si>
  <si>
    <t>Tommaso</t>
  </si>
  <si>
    <t>Narwekar</t>
  </si>
  <si>
    <t>6/1/1991</t>
  </si>
  <si>
    <t>3/31/1997</t>
  </si>
  <si>
    <t>1/30/1953</t>
  </si>
  <si>
    <t>Uriel</t>
  </si>
  <si>
    <t>Zongker</t>
  </si>
  <si>
    <t>1/25/1988</t>
  </si>
  <si>
    <t>7/13/1956</t>
  </si>
  <si>
    <t>Christ</t>
  </si>
  <si>
    <t>Muchinsky</t>
  </si>
  <si>
    <t>8/27/1987</t>
  </si>
  <si>
    <t>11/12/1955</t>
  </si>
  <si>
    <t>Khalid</t>
  </si>
  <si>
    <t>Erva</t>
  </si>
  <si>
    <t>10/5/1989</t>
  </si>
  <si>
    <t>12/8/1961</t>
  </si>
  <si>
    <t>10/9/1987</t>
  </si>
  <si>
    <t>12/11/1964</t>
  </si>
  <si>
    <t>Arve</t>
  </si>
  <si>
    <t>6/23/1986</t>
  </si>
  <si>
    <t>4/8/1959</t>
  </si>
  <si>
    <t>Zdislav</t>
  </si>
  <si>
    <t>4/10/1986</t>
  </si>
  <si>
    <t>10/20/1962</t>
  </si>
  <si>
    <t>Bahr</t>
  </si>
  <si>
    <t>10/9/1990</t>
  </si>
  <si>
    <t>9/16/1960</t>
  </si>
  <si>
    <t>Mohua</t>
  </si>
  <si>
    <t>Falck</t>
  </si>
  <si>
    <t>6/13/1988</t>
  </si>
  <si>
    <t>2/18/1954</t>
  </si>
  <si>
    <t>Gen</t>
  </si>
  <si>
    <t>3/23/1989</t>
  </si>
  <si>
    <t>6/29/1960</t>
  </si>
  <si>
    <t>Masaru</t>
  </si>
  <si>
    <t>Cheshire</t>
  </si>
  <si>
    <t>7/28/1991</t>
  </si>
  <si>
    <t>1/29/1954</t>
  </si>
  <si>
    <t>Josyula</t>
  </si>
  <si>
    <t>Hofmeyr</t>
  </si>
  <si>
    <t>5/15/1989</t>
  </si>
  <si>
    <t>3/1/1955</t>
  </si>
  <si>
    <t>Panayotis</t>
  </si>
  <si>
    <t>Daescu</t>
  </si>
  <si>
    <t>Annemarie</t>
  </si>
  <si>
    <t>Redmiles</t>
  </si>
  <si>
    <t>2/15/1985</t>
  </si>
  <si>
    <t>1/27/1954</t>
  </si>
  <si>
    <t>Marc</t>
  </si>
  <si>
    <t>Hellwagner</t>
  </si>
  <si>
    <t>11/16/1994</t>
  </si>
  <si>
    <t>11/11/1952</t>
  </si>
  <si>
    <t>Juichirou</t>
  </si>
  <si>
    <t>Ghelli</t>
  </si>
  <si>
    <t>12/13/1986</t>
  </si>
  <si>
    <t>8/6/1963</t>
  </si>
  <si>
    <t>Kasidit</t>
  </si>
  <si>
    <t>Krzyzanowski</t>
  </si>
  <si>
    <t>11/22/1993</t>
  </si>
  <si>
    <t>5/28/1953</t>
  </si>
  <si>
    <t>Pranav</t>
  </si>
  <si>
    <t>Furedi</t>
  </si>
  <si>
    <t>8/31/1985</t>
  </si>
  <si>
    <t>3/14/1958</t>
  </si>
  <si>
    <t>Francoise</t>
  </si>
  <si>
    <t>Baik</t>
  </si>
  <si>
    <t>7/24/1996</t>
  </si>
  <si>
    <t>Kazuhisa</t>
  </si>
  <si>
    <t>Ranta</t>
  </si>
  <si>
    <t>4/29/1997</t>
  </si>
  <si>
    <t>Vidya</t>
  </si>
  <si>
    <t>10/16/1985</t>
  </si>
  <si>
    <t>Idoia</t>
  </si>
  <si>
    <t>Kavraki</t>
  </si>
  <si>
    <t>11/22/1986</t>
  </si>
  <si>
    <t>3/19/1953</t>
  </si>
  <si>
    <t>Shmuel</t>
  </si>
  <si>
    <t>Georg</t>
  </si>
  <si>
    <t>11/30/1986</t>
  </si>
  <si>
    <t>1/5/1956</t>
  </si>
  <si>
    <t>Greger</t>
  </si>
  <si>
    <t>10/6/1991</t>
  </si>
  <si>
    <t>7/27/1955</t>
  </si>
  <si>
    <t>Steen</t>
  </si>
  <si>
    <t>4/6/1989</t>
  </si>
  <si>
    <t>4/12/1955</t>
  </si>
  <si>
    <t>Xuejun</t>
  </si>
  <si>
    <t>Chvatal</t>
  </si>
  <si>
    <t>12/9/1956</t>
  </si>
  <si>
    <t>Ritcey</t>
  </si>
  <si>
    <t>12/4/1986</t>
  </si>
  <si>
    <t>Mabhin</t>
  </si>
  <si>
    <t>Leijenhorst</t>
  </si>
  <si>
    <t>8/23/1993</t>
  </si>
  <si>
    <t>5/13/1960</t>
  </si>
  <si>
    <t>Conal</t>
  </si>
  <si>
    <t>Dayana</t>
  </si>
  <si>
    <t>8/29/1990</t>
  </si>
  <si>
    <t>Alassane</t>
  </si>
  <si>
    <t>Iwayama</t>
  </si>
  <si>
    <t>4/19/1988</t>
  </si>
  <si>
    <t>5/28/1955</t>
  </si>
  <si>
    <t>Girolamo</t>
  </si>
  <si>
    <t>Anandan</t>
  </si>
  <si>
    <t>10/11/1992</t>
  </si>
  <si>
    <t>3/9/1954</t>
  </si>
  <si>
    <t>Bach</t>
  </si>
  <si>
    <t>4/29/1986</t>
  </si>
  <si>
    <t>1/2/1960</t>
  </si>
  <si>
    <t>Xiping</t>
  </si>
  <si>
    <t>Klerer</t>
  </si>
  <si>
    <t>12/23/1991</t>
  </si>
  <si>
    <t>12/12/1956</t>
  </si>
  <si>
    <t>Yolla</t>
  </si>
  <si>
    <t>Ellozy</t>
  </si>
  <si>
    <t>11/23/1991</t>
  </si>
  <si>
    <t>Arie</t>
  </si>
  <si>
    <t>Kamble</t>
  </si>
  <si>
    <t>7/1/1988</t>
  </si>
  <si>
    <t>1/24/1958</t>
  </si>
  <si>
    <t>Yuping</t>
  </si>
  <si>
    <t>Alpin</t>
  </si>
  <si>
    <t>5/10/1994</t>
  </si>
  <si>
    <t>9/18/2001</t>
  </si>
  <si>
    <t>7/26/1954</t>
  </si>
  <si>
    <t>Pintsang</t>
  </si>
  <si>
    <t>Peron</t>
  </si>
  <si>
    <t>11/9/1988</t>
  </si>
  <si>
    <t>8/5/1964</t>
  </si>
  <si>
    <t>Vishu</t>
  </si>
  <si>
    <t>Strehl</t>
  </si>
  <si>
    <t>11/18/1989</t>
  </si>
  <si>
    <t>5/9/1959</t>
  </si>
  <si>
    <t>Esteva</t>
  </si>
  <si>
    <t>7/11/1990</t>
  </si>
  <si>
    <t>9/22/1995</t>
  </si>
  <si>
    <t>1/26/1962</t>
  </si>
  <si>
    <t>Parveen</t>
  </si>
  <si>
    <t>4/4/1997</t>
  </si>
  <si>
    <t>5/24/1964</t>
  </si>
  <si>
    <t>Jackson</t>
  </si>
  <si>
    <t>Kakkad</t>
  </si>
  <si>
    <t>11/6/1992</t>
  </si>
  <si>
    <t>4/14/1962</t>
  </si>
  <si>
    <t>Tadahiko</t>
  </si>
  <si>
    <t>Ciolek</t>
  </si>
  <si>
    <t>2/29/1988</t>
  </si>
  <si>
    <t>4/29/1959</t>
  </si>
  <si>
    <t>Quingbo</t>
  </si>
  <si>
    <t>Lagarias</t>
  </si>
  <si>
    <t>11/7/1987</t>
  </si>
  <si>
    <t>4/2/1954</t>
  </si>
  <si>
    <t>Xiaobin</t>
  </si>
  <si>
    <t>10/19/1987</t>
  </si>
  <si>
    <t>7/16/1958</t>
  </si>
  <si>
    <t>Amstein</t>
  </si>
  <si>
    <t>Ghemri</t>
  </si>
  <si>
    <t>10/30/1987</t>
  </si>
  <si>
    <t>11/9/1993</t>
  </si>
  <si>
    <t>6/3/1954</t>
  </si>
  <si>
    <t>Rutger</t>
  </si>
  <si>
    <t>Grospietsch</t>
  </si>
  <si>
    <t>12/30/1990</t>
  </si>
  <si>
    <t>4/20/1997</t>
  </si>
  <si>
    <t>7/7/1954</t>
  </si>
  <si>
    <t>Yongmin</t>
  </si>
  <si>
    <t>Roison</t>
  </si>
  <si>
    <t>5/12/1986</t>
  </si>
  <si>
    <t>12/7/1958</t>
  </si>
  <si>
    <t>Magalhaes</t>
  </si>
  <si>
    <t>1/15/1997</t>
  </si>
  <si>
    <t>2/28/2003</t>
  </si>
  <si>
    <t>9/23/1952</t>
  </si>
  <si>
    <t>Van</t>
  </si>
  <si>
    <t>11/25/1992</t>
  </si>
  <si>
    <t>5/2/1952</t>
  </si>
  <si>
    <t>Genta</t>
  </si>
  <si>
    <t>Kolvik</t>
  </si>
  <si>
    <t>3/31/1993</t>
  </si>
  <si>
    <t>4/19/1959</t>
  </si>
  <si>
    <t>2/19/1998</t>
  </si>
  <si>
    <t>5/25/1958</t>
  </si>
  <si>
    <t>Kish</t>
  </si>
  <si>
    <t>Fasbender</t>
  </si>
  <si>
    <t>6/25/1992</t>
  </si>
  <si>
    <t>1/3/1957</t>
  </si>
  <si>
    <t>Yucai</t>
  </si>
  <si>
    <t>Granlund</t>
  </si>
  <si>
    <t>6/8/1988</t>
  </si>
  <si>
    <t>3/31/1960</t>
  </si>
  <si>
    <t>Tiina</t>
  </si>
  <si>
    <t>Ozeki</t>
  </si>
  <si>
    <t>10/20/1995</t>
  </si>
  <si>
    <t>6/16/2009</t>
  </si>
  <si>
    <t>9/21/1962</t>
  </si>
  <si>
    <t>Tze</t>
  </si>
  <si>
    <t>Nourani</t>
  </si>
  <si>
    <t>6/8/1986</t>
  </si>
  <si>
    <t>9/17/1963</t>
  </si>
  <si>
    <t>Carrsten</t>
  </si>
  <si>
    <t>Schmiedel</t>
  </si>
  <si>
    <t>11/18/1985</t>
  </si>
  <si>
    <t>3/12/1954</t>
  </si>
  <si>
    <t>Vanwelkenhuysen</t>
  </si>
  <si>
    <t>11/17/1989</t>
  </si>
  <si>
    <t>5/17/1954</t>
  </si>
  <si>
    <t>Leon</t>
  </si>
  <si>
    <t>Trogemann</t>
  </si>
  <si>
    <t>1/9/1988</t>
  </si>
  <si>
    <t>Kellie</t>
  </si>
  <si>
    <t>Chinen</t>
  </si>
  <si>
    <t>6/19/1986</t>
  </si>
  <si>
    <t>Mads</t>
  </si>
  <si>
    <t>Felcyn</t>
  </si>
  <si>
    <t>3/20/1992</t>
  </si>
  <si>
    <t>12/28/1964</t>
  </si>
  <si>
    <t>Plessier</t>
  </si>
  <si>
    <t>10/27/1989</t>
  </si>
  <si>
    <t>7/4/1957</t>
  </si>
  <si>
    <t>Anneli</t>
  </si>
  <si>
    <t>Kaiser</t>
  </si>
  <si>
    <t>4/24/1994</t>
  </si>
  <si>
    <t>1/14/1962</t>
  </si>
  <si>
    <t>Roselyn</t>
  </si>
  <si>
    <t>Rahimi</t>
  </si>
  <si>
    <t>3/15/1995</t>
  </si>
  <si>
    <t>Cesareni</t>
  </si>
  <si>
    <t>8/26/1991</t>
  </si>
  <si>
    <t>10/29/1962</t>
  </si>
  <si>
    <t>Soicher</t>
  </si>
  <si>
    <t>3/14/1987</t>
  </si>
  <si>
    <t>2/10/1952</t>
  </si>
  <si>
    <t>Ulises</t>
  </si>
  <si>
    <t>Takanami</t>
  </si>
  <si>
    <t>1/28/1991</t>
  </si>
  <si>
    <t>9/11/1955</t>
  </si>
  <si>
    <t>Clyde</t>
  </si>
  <si>
    <t>Vernadat</t>
  </si>
  <si>
    <t>6/16/1996</t>
  </si>
  <si>
    <t>Vidar</t>
  </si>
  <si>
    <t>12/4/1991</t>
  </si>
  <si>
    <t>7/21/1963</t>
  </si>
  <si>
    <t>4/13/1996</t>
  </si>
  <si>
    <t>3/11/1956</t>
  </si>
  <si>
    <t>Marko</t>
  </si>
  <si>
    <t>6/4/1992</t>
  </si>
  <si>
    <t>12/30/1998</t>
  </si>
  <si>
    <t>9/24/1960</t>
  </si>
  <si>
    <t>Uli</t>
  </si>
  <si>
    <t>Candan</t>
  </si>
  <si>
    <t>11/17/1992</t>
  </si>
  <si>
    <t>4/1/1954</t>
  </si>
  <si>
    <t>Lein</t>
  </si>
  <si>
    <t>Vendrig</t>
  </si>
  <si>
    <t>7/5/1985</t>
  </si>
  <si>
    <t>1/18/1961</t>
  </si>
  <si>
    <t>Arunachalam</t>
  </si>
  <si>
    <t>11/19/1990</t>
  </si>
  <si>
    <t>4/13/1960</t>
  </si>
  <si>
    <t>Gudjon</t>
  </si>
  <si>
    <t>Poupard</t>
  </si>
  <si>
    <t>8/28/1988</t>
  </si>
  <si>
    <t>3/27/1958</t>
  </si>
  <si>
    <t>Susanta</t>
  </si>
  <si>
    <t>Roccetti</t>
  </si>
  <si>
    <t>4/6/1995</t>
  </si>
  <si>
    <t>9/9/2003</t>
  </si>
  <si>
    <t>Susumu</t>
  </si>
  <si>
    <t>Bade</t>
  </si>
  <si>
    <t>8/30/1996</t>
  </si>
  <si>
    <t>3/31/1954</t>
  </si>
  <si>
    <t>Moto</t>
  </si>
  <si>
    <t>Piazza</t>
  </si>
  <si>
    <t>12/11/1991</t>
  </si>
  <si>
    <t>9/22/1952</t>
  </si>
  <si>
    <t>Yannis</t>
  </si>
  <si>
    <t>8/11/1989</t>
  </si>
  <si>
    <t>11/2/1964</t>
  </si>
  <si>
    <t>Mototsugu</t>
  </si>
  <si>
    <t>Gire</t>
  </si>
  <si>
    <t>11/19/1986</t>
  </si>
  <si>
    <t>4/21/1955</t>
  </si>
  <si>
    <t>12/6/1989</t>
  </si>
  <si>
    <t>3/31/1955</t>
  </si>
  <si>
    <t>Nikolaos</t>
  </si>
  <si>
    <t>Llado</t>
  </si>
  <si>
    <t>11/4/1964</t>
  </si>
  <si>
    <t>Butner</t>
  </si>
  <si>
    <t>8/22/1987</t>
  </si>
  <si>
    <t>4/1/1952</t>
  </si>
  <si>
    <t>Remko</t>
  </si>
  <si>
    <t>Maccarone</t>
  </si>
  <si>
    <t>10/6/1998</t>
  </si>
  <si>
    <t>7/1/1958</t>
  </si>
  <si>
    <t>Ortrud</t>
  </si>
  <si>
    <t>Murillo</t>
  </si>
  <si>
    <t>6/12/1988</t>
  </si>
  <si>
    <t>2/22/1964</t>
  </si>
  <si>
    <t>Ozeri</t>
  </si>
  <si>
    <t>1/18/1988</t>
  </si>
  <si>
    <t>12/22/1960</t>
  </si>
  <si>
    <t>Pouyioutas</t>
  </si>
  <si>
    <t>11/24/1985</t>
  </si>
  <si>
    <t>1/24/1956</t>
  </si>
  <si>
    <t>Neelam</t>
  </si>
  <si>
    <t>3/4/1990</t>
  </si>
  <si>
    <t>12/23/1985</t>
  </si>
  <si>
    <t>8/23/1962</t>
  </si>
  <si>
    <t>Ramalingam</t>
  </si>
  <si>
    <t>Gente</t>
  </si>
  <si>
    <t>4/26/1985</t>
  </si>
  <si>
    <t>11/5/1952</t>
  </si>
  <si>
    <t>Guangming</t>
  </si>
  <si>
    <t>Butterworth</t>
  </si>
  <si>
    <t>10/1/1986</t>
  </si>
  <si>
    <t>6/23/1962</t>
  </si>
  <si>
    <t>Teitelbaum</t>
  </si>
  <si>
    <t>7/12/1987</t>
  </si>
  <si>
    <t>6/30/1964</t>
  </si>
  <si>
    <t>Heon</t>
  </si>
  <si>
    <t>Riefers</t>
  </si>
  <si>
    <t>8/14/1992</t>
  </si>
  <si>
    <t>5/14/1958</t>
  </si>
  <si>
    <t>Irene</t>
  </si>
  <si>
    <t>Setia</t>
  </si>
  <si>
    <t>8/10/1986</t>
  </si>
  <si>
    <t>9/24/1955</t>
  </si>
  <si>
    <t>Frederique</t>
  </si>
  <si>
    <t>8/13/1991</t>
  </si>
  <si>
    <t>6/10/1954</t>
  </si>
  <si>
    <t>Marie</t>
  </si>
  <si>
    <t>Boreale</t>
  </si>
  <si>
    <t>12/8/1991</t>
  </si>
  <si>
    <t>2/1/1965</t>
  </si>
  <si>
    <t>11/5/1987</t>
  </si>
  <si>
    <t>8/12/1958</t>
  </si>
  <si>
    <t>Serap</t>
  </si>
  <si>
    <t>Etalle</t>
  </si>
  <si>
    <t>8/30/1992</t>
  </si>
  <si>
    <t>2/10/1954</t>
  </si>
  <si>
    <t>Huiqun</t>
  </si>
  <si>
    <t>Rattan</t>
  </si>
  <si>
    <t>3/23/1985</t>
  </si>
  <si>
    <t>8/19/1987</t>
  </si>
  <si>
    <t>4/25/1957</t>
  </si>
  <si>
    <t>Alair</t>
  </si>
  <si>
    <t>1/30/1961</t>
  </si>
  <si>
    <t>Shirish</t>
  </si>
  <si>
    <t>Wegerle</t>
  </si>
  <si>
    <t>11/8/1990</t>
  </si>
  <si>
    <t>Mateescu</t>
  </si>
  <si>
    <t>11/26/1989</t>
  </si>
  <si>
    <t>11/12/1964</t>
  </si>
  <si>
    <t>Zsolt</t>
  </si>
  <si>
    <t>Salinas</t>
  </si>
  <si>
    <t>2/21/1985</t>
  </si>
  <si>
    <t>10/14/1988</t>
  </si>
  <si>
    <t>Shen</t>
  </si>
  <si>
    <t>6/14/1990</t>
  </si>
  <si>
    <t>6/22/2003</t>
  </si>
  <si>
    <t>8/30/1957</t>
  </si>
  <si>
    <t>Jahangir</t>
  </si>
  <si>
    <t>Schmittgen</t>
  </si>
  <si>
    <t>8/20/1988</t>
  </si>
  <si>
    <t>2/8/1964</t>
  </si>
  <si>
    <t>Garnick</t>
  </si>
  <si>
    <t>5/12/1993</t>
  </si>
  <si>
    <t>12/2/1960</t>
  </si>
  <si>
    <t>Radhakrishnan</t>
  </si>
  <si>
    <t>10/12/1985</t>
  </si>
  <si>
    <t>7/7/1956</t>
  </si>
  <si>
    <t>12/18/1994</t>
  </si>
  <si>
    <t>9/12/1957</t>
  </si>
  <si>
    <t>Aiman</t>
  </si>
  <si>
    <t>Riexinger</t>
  </si>
  <si>
    <t>8/5/1986</t>
  </si>
  <si>
    <t>12/12/1955</t>
  </si>
  <si>
    <t>5/17/1985</t>
  </si>
  <si>
    <t>12/28/1963</t>
  </si>
  <si>
    <t>Mantis</t>
  </si>
  <si>
    <t>Otillio</t>
  </si>
  <si>
    <t>8/10/1988</t>
  </si>
  <si>
    <t>11/24/1964</t>
  </si>
  <si>
    <t>Susanna</t>
  </si>
  <si>
    <t>Vesel</t>
  </si>
  <si>
    <t>6/25/1986</t>
  </si>
  <si>
    <t>8/27/1954</t>
  </si>
  <si>
    <t>Anwar</t>
  </si>
  <si>
    <t>12/12/1991</t>
  </si>
  <si>
    <t>7/14/1961</t>
  </si>
  <si>
    <t>Alper</t>
  </si>
  <si>
    <t>Suomi</t>
  </si>
  <si>
    <t>4/13/1991</t>
  </si>
  <si>
    <t>Mang</t>
  </si>
  <si>
    <t>Erie</t>
  </si>
  <si>
    <t>10/20/1993</t>
  </si>
  <si>
    <t>Berstel</t>
  </si>
  <si>
    <t>8/8/1995</t>
  </si>
  <si>
    <t>8/4/1955</t>
  </si>
  <si>
    <t>Mahendra</t>
  </si>
  <si>
    <t>Maraist</t>
  </si>
  <si>
    <t>7/27/1992</t>
  </si>
  <si>
    <t>9/27/1999</t>
  </si>
  <si>
    <t>2/8/1961</t>
  </si>
  <si>
    <t>Takahiro</t>
  </si>
  <si>
    <t>Waterhouse</t>
  </si>
  <si>
    <t>2/5/1994</t>
  </si>
  <si>
    <t>Yechiam</t>
  </si>
  <si>
    <t>Munch</t>
  </si>
  <si>
    <t>3/8/1988</t>
  </si>
  <si>
    <t>5/23/1992</t>
  </si>
  <si>
    <t>9/8/1958</t>
  </si>
  <si>
    <t>Nalini</t>
  </si>
  <si>
    <t>Kawashimo</t>
  </si>
  <si>
    <t>7/16/1997</t>
  </si>
  <si>
    <t>Muniz</t>
  </si>
  <si>
    <t>7/13/1989</t>
  </si>
  <si>
    <t>7/27/1958</t>
  </si>
  <si>
    <t>Szemeredi</t>
  </si>
  <si>
    <t>8/30/1988</t>
  </si>
  <si>
    <t>2/24/1958</t>
  </si>
  <si>
    <t>Sukumar</t>
  </si>
  <si>
    <t>5/25/1990</t>
  </si>
  <si>
    <t>1/16/1956</t>
  </si>
  <si>
    <t>Cullers</t>
  </si>
  <si>
    <t>12/11/1996</t>
  </si>
  <si>
    <t>7/4/1962</t>
  </si>
  <si>
    <t>Pardalos</t>
  </si>
  <si>
    <t>11/7/1989</t>
  </si>
  <si>
    <t>6/3/1958</t>
  </si>
  <si>
    <t>Siochi</t>
  </si>
  <si>
    <t>12/17/1986</t>
  </si>
  <si>
    <t>12/24/1996</t>
  </si>
  <si>
    <t>8/19/1954</t>
  </si>
  <si>
    <t>Jaroslava</t>
  </si>
  <si>
    <t>Bardell</t>
  </si>
  <si>
    <t>12/1/1987</t>
  </si>
  <si>
    <t>10/7/1959</t>
  </si>
  <si>
    <t>Taizo</t>
  </si>
  <si>
    <t>Oxman</t>
  </si>
  <si>
    <t>7/24/1988</t>
  </si>
  <si>
    <t>1/30/1963</t>
  </si>
  <si>
    <t>Bedir</t>
  </si>
  <si>
    <t>Hartvigsen</t>
  </si>
  <si>
    <t>4/26/1990</t>
  </si>
  <si>
    <t>12/20/1959</t>
  </si>
  <si>
    <t>Swen</t>
  </si>
  <si>
    <t>7/1/1992</t>
  </si>
  <si>
    <t>4/24/1962</t>
  </si>
  <si>
    <t>Sham</t>
  </si>
  <si>
    <t>Eastman</t>
  </si>
  <si>
    <t>5/23/1986</t>
  </si>
  <si>
    <t>11/30/1954</t>
  </si>
  <si>
    <t>Yishai</t>
  </si>
  <si>
    <t>Cannane</t>
  </si>
  <si>
    <t>5/23/1988</t>
  </si>
  <si>
    <t>5/9/1956</t>
  </si>
  <si>
    <t>Tianruo</t>
  </si>
  <si>
    <t>10/18/1996</t>
  </si>
  <si>
    <t>8/29/1962</t>
  </si>
  <si>
    <t>Baocai</t>
  </si>
  <si>
    <t>Lieblein</t>
  </si>
  <si>
    <t>11/6/1985</t>
  </si>
  <si>
    <t>8/23/1957</t>
  </si>
  <si>
    <t>Dmitri</t>
  </si>
  <si>
    <t>Pearson</t>
  </si>
  <si>
    <t>4/21/1991</t>
  </si>
  <si>
    <t>2/10/1960</t>
  </si>
  <si>
    <t>Swiler</t>
  </si>
  <si>
    <t>10/22/1961</t>
  </si>
  <si>
    <t>Marek</t>
  </si>
  <si>
    <t>Luck</t>
  </si>
  <si>
    <t>9/8/1987</t>
  </si>
  <si>
    <t>6/8/2000</t>
  </si>
  <si>
    <t>7/27/1964</t>
  </si>
  <si>
    <t>Hempstead</t>
  </si>
  <si>
    <t>7/21/1985</t>
  </si>
  <si>
    <t>6/18/1959</t>
  </si>
  <si>
    <t>Michaela</t>
  </si>
  <si>
    <t>Glowinski</t>
  </si>
  <si>
    <t>3/2/1987</t>
  </si>
  <si>
    <t>8/15/1964</t>
  </si>
  <si>
    <t>Isaac</t>
  </si>
  <si>
    <t>Schwartzbauer</t>
  </si>
  <si>
    <t>6/16/1985</t>
  </si>
  <si>
    <t>3/9/1955</t>
  </si>
  <si>
    <t>Lubomir</t>
  </si>
  <si>
    <t>5/17/1991</t>
  </si>
  <si>
    <t>5/2/1953</t>
  </si>
  <si>
    <t>Christophe</t>
  </si>
  <si>
    <t>Binding</t>
  </si>
  <si>
    <t>2/12/1991</t>
  </si>
  <si>
    <t>8/20/1964</t>
  </si>
  <si>
    <t>Barton</t>
  </si>
  <si>
    <t>Jumpertz</t>
  </si>
  <si>
    <t>12/20/1994</t>
  </si>
  <si>
    <t>5/31/1954</t>
  </si>
  <si>
    <t>Schaft</t>
  </si>
  <si>
    <t>3/27/1985</t>
  </si>
  <si>
    <t>10/29/1964</t>
  </si>
  <si>
    <t>Delgrange</t>
  </si>
  <si>
    <t>3/18/1988</t>
  </si>
  <si>
    <t>5/13/1953</t>
  </si>
  <si>
    <t>Moty</t>
  </si>
  <si>
    <t>Kusakari</t>
  </si>
  <si>
    <t>12/3/1994</t>
  </si>
  <si>
    <t>5/8/1954</t>
  </si>
  <si>
    <t>Zhiwei</t>
  </si>
  <si>
    <t>Bahk</t>
  </si>
  <si>
    <t>8/11/1988</t>
  </si>
  <si>
    <t>7/14/2000</t>
  </si>
  <si>
    <t>11/27/1953</t>
  </si>
  <si>
    <t>Hercules</t>
  </si>
  <si>
    <t>Benzmuller</t>
  </si>
  <si>
    <t>6/4/1986</t>
  </si>
  <si>
    <t>7/8/1953</t>
  </si>
  <si>
    <t>Birjandi</t>
  </si>
  <si>
    <t>5/25/1988</t>
  </si>
  <si>
    <t>8/15/1993</t>
  </si>
  <si>
    <t>4/8/1954</t>
  </si>
  <si>
    <t>Murrill</t>
  </si>
  <si>
    <t>7/2/1997</t>
  </si>
  <si>
    <t>9/21/1956</t>
  </si>
  <si>
    <t>2/27/1995</t>
  </si>
  <si>
    <t>2/9/1955</t>
  </si>
  <si>
    <t>Benveniste</t>
  </si>
  <si>
    <t>3/30/1990</t>
  </si>
  <si>
    <t>5/14/1952</t>
  </si>
  <si>
    <t>Saddek</t>
  </si>
  <si>
    <t>Gopalakrishnan</t>
  </si>
  <si>
    <t>3/21/1988</t>
  </si>
  <si>
    <t>3/13/1994</t>
  </si>
  <si>
    <t>11/28/1963</t>
  </si>
  <si>
    <t>9/17/1955</t>
  </si>
  <si>
    <t>Nakhoon</t>
  </si>
  <si>
    <t>Bennis</t>
  </si>
  <si>
    <t>12/1/1989</t>
  </si>
  <si>
    <t>6/2/1959</t>
  </si>
  <si>
    <t>Selwyn</t>
  </si>
  <si>
    <t>Perri</t>
  </si>
  <si>
    <t>8/29/1994</t>
  </si>
  <si>
    <t>7/24/1953</t>
  </si>
  <si>
    <t>Ronghao</t>
  </si>
  <si>
    <t>Conta</t>
  </si>
  <si>
    <t>6/29/1992</t>
  </si>
  <si>
    <t>11/30/1956</t>
  </si>
  <si>
    <t>Shay</t>
  </si>
  <si>
    <t>Poulakidas</t>
  </si>
  <si>
    <t>6/6/1990</t>
  </si>
  <si>
    <t>5/29/1957</t>
  </si>
  <si>
    <t>Yongmao</t>
  </si>
  <si>
    <t>Pleszkun</t>
  </si>
  <si>
    <t>9/18/1991</t>
  </si>
  <si>
    <t>8/7/1956</t>
  </si>
  <si>
    <t>Kwok</t>
  </si>
  <si>
    <t>4/25/1990</t>
  </si>
  <si>
    <t>1/23/1965</t>
  </si>
  <si>
    <t>Dipayan</t>
  </si>
  <si>
    <t>Seghrouchni</t>
  </si>
  <si>
    <t>9/29/1986</t>
  </si>
  <si>
    <t>1/27/1963</t>
  </si>
  <si>
    <t>6/5/1989</t>
  </si>
  <si>
    <t>1/11/1956</t>
  </si>
  <si>
    <t>Juyoung</t>
  </si>
  <si>
    <t>Smailagic</t>
  </si>
  <si>
    <t>9/15/1987</t>
  </si>
  <si>
    <t>11/24/1956</t>
  </si>
  <si>
    <t>Avouris</t>
  </si>
  <si>
    <t>12/12/1992</t>
  </si>
  <si>
    <t>1/5/1955</t>
  </si>
  <si>
    <t>Miara</t>
  </si>
  <si>
    <t>4/8/1996</t>
  </si>
  <si>
    <t>5/2/1959</t>
  </si>
  <si>
    <t>Quadeer</t>
  </si>
  <si>
    <t>6/10/1991</t>
  </si>
  <si>
    <t>1/13/1953</t>
  </si>
  <si>
    <t>Kristine</t>
  </si>
  <si>
    <t>Velardi</t>
  </si>
  <si>
    <t>8/27/1990</t>
  </si>
  <si>
    <t>5/13/1964</t>
  </si>
  <si>
    <t>Petter</t>
  </si>
  <si>
    <t>9/16/1989</t>
  </si>
  <si>
    <t>3/17/1957</t>
  </si>
  <si>
    <t>Jasminko</t>
  </si>
  <si>
    <t>Cronan</t>
  </si>
  <si>
    <t>10/27/1992</t>
  </si>
  <si>
    <t>6/17/1956</t>
  </si>
  <si>
    <t>Narain</t>
  </si>
  <si>
    <t>Oaver</t>
  </si>
  <si>
    <t>Dep_Name</t>
  </si>
  <si>
    <t>Marketing</t>
  </si>
  <si>
    <t>Finance</t>
  </si>
  <si>
    <t>Human Resources</t>
  </si>
  <si>
    <t>Production</t>
  </si>
  <si>
    <t>Quality Management</t>
  </si>
  <si>
    <t>Sales</t>
  </si>
  <si>
    <t>Research</t>
  </si>
  <si>
    <t>Customer Service</t>
  </si>
  <si>
    <t>Left?</t>
  </si>
  <si>
    <t>DOB</t>
  </si>
  <si>
    <t>Salary</t>
  </si>
  <si>
    <t>2. In the "Employee_Info" sheet, add a new column that saves the "Dep_Name" for each Employee.</t>
  </si>
  <si>
    <t>3. Generate the following KPIs:</t>
  </si>
  <si>
    <t>Employee_Info:</t>
  </si>
  <si>
    <t>Employee_id</t>
  </si>
  <si>
    <t>Date of Birth</t>
  </si>
  <si>
    <t>First name of employee</t>
  </si>
  <si>
    <t>Last name of employee</t>
  </si>
  <si>
    <t>Gender of employee, male or female</t>
  </si>
  <si>
    <t>Date of Joining/ Hiring</t>
  </si>
  <si>
    <t>Number of projects worked on</t>
  </si>
  <si>
    <t>Employee left the organization or not? i.e. 0 or 1</t>
  </si>
  <si>
    <t>Last date of employement(Exit Date)</t>
  </si>
  <si>
    <t>Salary of employee</t>
  </si>
  <si>
    <t>Id of Dept in which employee works</t>
  </si>
  <si>
    <t>Designation of Employee</t>
  </si>
  <si>
    <t>Dept_Info:</t>
  </si>
  <si>
    <t>Dept_id</t>
  </si>
  <si>
    <t>Department id</t>
  </si>
  <si>
    <t>Name of the department</t>
  </si>
  <si>
    <t>1. Before proceeding with analysis, make sure Date Columns and Salary are in correct format.</t>
  </si>
  <si>
    <t>Development</t>
  </si>
  <si>
    <t>4. Perform the following analysis</t>
  </si>
  <si>
    <t>What is the average tenure of employees who left?</t>
  </si>
  <si>
    <t>a. Employee Retention &amp; Attrition</t>
  </si>
  <si>
    <t>Is there any correlation between number of projects and performance rating?</t>
  </si>
  <si>
    <t>Which departments have the highest number of top performers?</t>
  </si>
  <si>
    <t>b. Performance &amp; Productivity</t>
  </si>
  <si>
    <t>What is the average salary by department?</t>
  </si>
  <si>
    <t>Are male or female employees paid more on average?</t>
  </si>
  <si>
    <t>c. Salary Analysis</t>
  </si>
  <si>
    <t>How many employees joined each year?</t>
  </si>
  <si>
    <t>Which departments saw the most hiring in the past 2 years?</t>
  </si>
  <si>
    <t>d. Hiring Trends</t>
  </si>
  <si>
    <t>5. Are there any employees with poor performance and high salary?</t>
  </si>
  <si>
    <t>hint: use conditional formattings</t>
  </si>
  <si>
    <t>a. No. of Employees who left the firm</t>
  </si>
  <si>
    <t>b. No. of Employees in the Leadership Role</t>
  </si>
  <si>
    <t>c. Total Employees associated with the firm</t>
  </si>
  <si>
    <t>This Mini Project Focuses on Data Transformations, building KPI using Statistical functions &amp; Summarizations using Pivot Tables</t>
  </si>
  <si>
    <t>How many %employees have left the company?</t>
  </si>
  <si>
    <t>Last year performance ratin--&gt; A, B, C, PIP &amp; S</t>
  </si>
  <si>
    <t>Ratings description:</t>
  </si>
  <si>
    <t>Rating</t>
  </si>
  <si>
    <t>Meaning</t>
  </si>
  <si>
    <t>Description</t>
  </si>
  <si>
    <t>Excellent / Outstanding</t>
  </si>
  <si>
    <t>Top performer, exceeds expectations consistently. Often eligible for promotions, bonuses, leadership roles.</t>
  </si>
  <si>
    <t>Good / Meets Expectations</t>
  </si>
  <si>
    <t>Solid performer. Delivers what’s expected; may occasionally go beyond. Reliable and consistent.</t>
  </si>
  <si>
    <t>Needs Improvement / Below Expectations</t>
  </si>
  <si>
    <t>Underperforming slightly. May need coaching or upskilling. Not serious yet, but needs monitoring.</t>
  </si>
  <si>
    <t>Performance Improvement Plan</t>
  </si>
  <si>
    <t>Officially under review due to poor performance. Risk of termination if performance doesn't improve.</t>
  </si>
  <si>
    <t>Star Performer / Strategic Contributor</t>
  </si>
  <si>
    <t>Often used in some companies for elite talent. High-potential, future leader, or mission-critical employee.</t>
  </si>
  <si>
    <t>Columns</t>
  </si>
  <si>
    <t>Business Context</t>
  </si>
  <si>
    <t xml:space="preserve">A mid-sized organization wants to improve its human resource planning, retention strategy, and departmental efficiency. The company has been collecting employee data over the years, </t>
  </si>
  <si>
    <t>including demographics, work history, performance, and attrition details. Additionally, it maintains a department-level database with department names and IDs.</t>
  </si>
  <si>
    <t>With rising attrition in some departments and concerns around performance consistency, the HR and Leadership teams want a data-driven understanding of employee trends—both current</t>
  </si>
  <si>
    <t xml:space="preserve"> and historical—to guide decisions on hiring, promotions, and organizational restructuring.</t>
  </si>
  <si>
    <t>To analyze employee demographics, performance, attrition trends, and departmental structures to deliver insights that:</t>
  </si>
  <si>
    <t>Improve talent retention strategies</t>
  </si>
  <si>
    <t>Identify performance bottlenecks</t>
  </si>
  <si>
    <t>Support department-level workforce planning</t>
  </si>
  <si>
    <t>Forecast potential risks such as high attrition or skill gaps</t>
  </si>
  <si>
    <t>Problem Statememt</t>
  </si>
  <si>
    <t>Data Description | Data Dictionary</t>
  </si>
  <si>
    <t>DepName</t>
  </si>
  <si>
    <t>KPIs:</t>
  </si>
  <si>
    <t>sum()</t>
  </si>
  <si>
    <t>countifs()</t>
  </si>
  <si>
    <t>d. Total volume of employees</t>
  </si>
  <si>
    <t>Grand Total</t>
  </si>
  <si>
    <t>Left the Org?</t>
  </si>
  <si>
    <t>Emp_Count</t>
  </si>
  <si>
    <t>1</t>
  </si>
  <si>
    <t>Avg. Tenure</t>
  </si>
  <si>
    <t>Projects done</t>
  </si>
  <si>
    <t>Avg. Ratings</t>
  </si>
  <si>
    <t>=CORREL($C$23:$C$32, $D$23:$D$32)</t>
  </si>
  <si>
    <t>(Multiple Items)</t>
  </si>
  <si>
    <t>Departments</t>
  </si>
  <si>
    <t>Top Performers</t>
  </si>
  <si>
    <t>Avg. Salary</t>
  </si>
  <si>
    <t>Grenders</t>
  </si>
  <si>
    <t>1985</t>
  </si>
  <si>
    <t>1986</t>
  </si>
  <si>
    <t>1987</t>
  </si>
  <si>
    <t>1988</t>
  </si>
  <si>
    <t>1989</t>
  </si>
  <si>
    <t>1990</t>
  </si>
  <si>
    <t>1991</t>
  </si>
  <si>
    <t>1992</t>
  </si>
  <si>
    <t>1993</t>
  </si>
  <si>
    <t>1994</t>
  </si>
  <si>
    <t>1995</t>
  </si>
  <si>
    <t>1996</t>
  </si>
  <si>
    <t>1997</t>
  </si>
  <si>
    <t>1998</t>
  </si>
  <si>
    <t>1999</t>
  </si>
  <si>
    <t>Joining Years</t>
  </si>
  <si>
    <t>DoJ (Year)</t>
  </si>
  <si>
    <t>Emp Joined</t>
  </si>
  <si>
    <t>Performance issues?</t>
  </si>
  <si>
    <t>HR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</si>
</sst>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6" formatCode="_ [$₹-4009]\ * #,##0.00_ ;_ [$₹-4009]\ * \-#,##0.00_ ;_ [$₹-4009]\ * &quot;-&quot;??_ ;_ @_ "/>
    <numFmt numFmtId="168" formatCode="_ [$₹-4009]\ * #,##0_ ;_ [$₹-4009]\ * \-#,##0_ ;_ [$₹-4009]\ * &quot;-&quot;??_ ;_ @_ "/>
  </numFmts>
  <fonts count="16" x14ac:knownFonts="1">
    <font>
      <sz val="11"/>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b/>
      <i/>
      <sz val="16"/>
      <color rgb="FFFF0000"/>
      <name val="Calibri"/>
      <family val="2"/>
      <scheme val="minor"/>
    </font>
    <font>
      <b/>
      <sz val="16"/>
      <color theme="0"/>
      <name val="Calibri"/>
      <family val="2"/>
      <scheme val="minor"/>
    </font>
    <font>
      <b/>
      <sz val="14"/>
      <color rgb="FFFF0000"/>
      <name val="Calibri"/>
      <family val="2"/>
      <scheme val="minor"/>
    </font>
    <font>
      <i/>
      <sz val="14"/>
      <color theme="1"/>
      <name val="Calibri"/>
      <family val="2"/>
      <scheme val="minor"/>
    </font>
    <font>
      <i/>
      <u/>
      <sz val="14"/>
      <color theme="1"/>
      <name val="Calibri"/>
      <family val="2"/>
      <scheme val="minor"/>
    </font>
    <font>
      <sz val="11"/>
      <color theme="1"/>
      <name val="Calibri"/>
      <family val="2"/>
      <scheme val="minor"/>
    </font>
    <font>
      <b/>
      <sz val="11"/>
      <color theme="1"/>
      <name val="Calibri"/>
      <family val="2"/>
      <scheme val="minor"/>
    </font>
    <font>
      <sz val="12"/>
      <color rgb="FFFF0000"/>
      <name val="Calibri"/>
      <family val="2"/>
      <scheme val="minor"/>
    </font>
    <font>
      <sz val="18"/>
      <color theme="0"/>
      <name val="Times New Roman"/>
      <family val="1"/>
    </font>
    <font>
      <b/>
      <sz val="28"/>
      <color theme="0"/>
      <name val="Times New Roman"/>
      <family val="1"/>
    </font>
    <font>
      <sz val="16"/>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0" fillId="0" borderId="0" applyFont="0" applyFill="0" applyBorder="0" applyAlignment="0" applyProtection="0"/>
  </cellStyleXfs>
  <cellXfs count="5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0" fontId="2" fillId="2" borderId="1" xfId="0" applyFont="1" applyFill="1" applyBorder="1"/>
    <xf numFmtId="0" fontId="3" fillId="0" borderId="0" xfId="0" applyFont="1"/>
    <xf numFmtId="0" fontId="4" fillId="0" borderId="0" xfId="0" applyFont="1"/>
    <xf numFmtId="0" fontId="3" fillId="0" borderId="0" xfId="0" applyFont="1" applyAlignment="1">
      <alignment horizontal="left" vertical="center" indent="1"/>
    </xf>
    <xf numFmtId="0" fontId="5" fillId="0" borderId="0" xfId="0" applyFont="1"/>
    <xf numFmtId="0" fontId="7" fillId="0" borderId="0" xfId="0" applyFont="1"/>
    <xf numFmtId="0" fontId="4" fillId="3" borderId="1" xfId="0" applyFont="1" applyFill="1" applyBorder="1" applyAlignment="1">
      <alignment horizontal="center"/>
    </xf>
    <xf numFmtId="0" fontId="8" fillId="0" borderId="1" xfId="0" applyFont="1" applyBorder="1" applyAlignment="1">
      <alignment horizontal="center"/>
    </xf>
    <xf numFmtId="0" fontId="3" fillId="0" borderId="1" xfId="0" applyFont="1" applyBorder="1"/>
    <xf numFmtId="0" fontId="9" fillId="0" borderId="0" xfId="0" applyFont="1"/>
    <xf numFmtId="0" fontId="6" fillId="4" borderId="0" xfId="0" applyFont="1" applyFill="1" applyAlignment="1">
      <alignment horizontal="center"/>
    </xf>
    <xf numFmtId="14" fontId="0" fillId="0" borderId="1" xfId="0" applyNumberFormat="1" applyBorder="1"/>
    <xf numFmtId="14" fontId="0" fillId="0" borderId="8" xfId="0" applyNumberFormat="1" applyBorder="1"/>
    <xf numFmtId="168" fontId="0" fillId="0" borderId="1" xfId="1" applyNumberFormat="1" applyFont="1" applyBorder="1"/>
    <xf numFmtId="168" fontId="0" fillId="0" borderId="8" xfId="1" applyNumberFormat="1" applyFont="1" applyBorder="1"/>
    <xf numFmtId="0" fontId="1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2" fillId="0" borderId="0" xfId="0" applyFont="1" applyAlignment="1">
      <alignment horizontal="left" vertical="center" indent="1"/>
    </xf>
    <xf numFmtId="2" fontId="0" fillId="0" borderId="0" xfId="0" applyNumberFormat="1"/>
    <xf numFmtId="0" fontId="0" fillId="0" borderId="0" xfId="0" quotePrefix="1"/>
    <xf numFmtId="166" fontId="0" fillId="0" borderId="0" xfId="0" applyNumberFormat="1"/>
    <xf numFmtId="0" fontId="12" fillId="0" borderId="0" xfId="0" applyFont="1"/>
    <xf numFmtId="0" fontId="13" fillId="5" borderId="0" xfId="0" applyFont="1" applyFill="1" applyAlignment="1">
      <alignment horizontal="center" vertical="center"/>
    </xf>
    <xf numFmtId="0" fontId="14" fillId="5" borderId="0" xfId="0" applyFont="1" applyFill="1" applyAlignment="1">
      <alignment horizontal="center" vertical="center"/>
    </xf>
    <xf numFmtId="0" fontId="15" fillId="6" borderId="10" xfId="0" applyFont="1" applyFill="1" applyBorder="1" applyAlignment="1">
      <alignment horizontal="center"/>
    </xf>
    <xf numFmtId="0" fontId="15" fillId="6" borderId="11" xfId="0" applyFont="1" applyFill="1" applyBorder="1" applyAlignment="1">
      <alignment horizontal="center"/>
    </xf>
    <xf numFmtId="0" fontId="15" fillId="6" borderId="12" xfId="0" applyFont="1" applyFill="1" applyBorder="1" applyAlignment="1">
      <alignment horizontal="center"/>
    </xf>
    <xf numFmtId="0" fontId="15" fillId="6" borderId="13" xfId="0" applyFont="1" applyFill="1" applyBorder="1" applyAlignment="1">
      <alignment horizontal="center"/>
    </xf>
    <xf numFmtId="0" fontId="15" fillId="6" borderId="0" xfId="0" applyFont="1" applyFill="1" applyBorder="1" applyAlignment="1">
      <alignment horizontal="center"/>
    </xf>
    <xf numFmtId="0" fontId="15" fillId="6" borderId="14" xfId="0" applyFont="1" applyFill="1" applyBorder="1" applyAlignment="1">
      <alignment horizontal="center"/>
    </xf>
    <xf numFmtId="0" fontId="15" fillId="6" borderId="15" xfId="0" applyFont="1" applyFill="1" applyBorder="1" applyAlignment="1">
      <alignment horizontal="center"/>
    </xf>
    <xf numFmtId="0" fontId="15" fillId="6" borderId="16" xfId="0" applyFont="1" applyFill="1" applyBorder="1" applyAlignment="1">
      <alignment horizontal="center"/>
    </xf>
    <xf numFmtId="0" fontId="15" fillId="6" borderId="17" xfId="0" applyFont="1" applyFill="1" applyBorder="1" applyAlignment="1">
      <alignment horizontal="center"/>
    </xf>
    <xf numFmtId="2" fontId="15" fillId="6" borderId="10" xfId="0" applyNumberFormat="1" applyFont="1" applyFill="1" applyBorder="1" applyAlignment="1">
      <alignment horizontal="center"/>
    </xf>
    <xf numFmtId="2" fontId="15" fillId="6" borderId="11" xfId="0" applyNumberFormat="1" applyFont="1" applyFill="1" applyBorder="1" applyAlignment="1">
      <alignment horizontal="center"/>
    </xf>
    <xf numFmtId="2" fontId="15" fillId="6" borderId="12" xfId="0" applyNumberFormat="1" applyFont="1" applyFill="1" applyBorder="1" applyAlignment="1">
      <alignment horizontal="center"/>
    </xf>
    <xf numFmtId="2" fontId="15" fillId="6" borderId="13" xfId="0" applyNumberFormat="1" applyFont="1" applyFill="1" applyBorder="1" applyAlignment="1">
      <alignment horizontal="center"/>
    </xf>
    <xf numFmtId="2" fontId="15" fillId="6" borderId="0" xfId="0" applyNumberFormat="1" applyFont="1" applyFill="1" applyBorder="1" applyAlignment="1">
      <alignment horizontal="center"/>
    </xf>
    <xf numFmtId="2" fontId="15" fillId="6" borderId="14" xfId="0" applyNumberFormat="1" applyFont="1" applyFill="1" applyBorder="1" applyAlignment="1">
      <alignment horizontal="center"/>
    </xf>
    <xf numFmtId="2" fontId="15" fillId="6" borderId="15" xfId="0" applyNumberFormat="1" applyFont="1" applyFill="1" applyBorder="1" applyAlignment="1">
      <alignment horizontal="center"/>
    </xf>
    <xf numFmtId="2" fontId="15" fillId="6" borderId="16" xfId="0" applyNumberFormat="1" applyFont="1" applyFill="1" applyBorder="1" applyAlignment="1">
      <alignment horizontal="center"/>
    </xf>
    <xf numFmtId="2" fontId="15" fillId="6" borderId="17" xfId="0" applyNumberFormat="1" applyFont="1" applyFill="1" applyBorder="1" applyAlignment="1">
      <alignment horizontal="center"/>
    </xf>
  </cellXfs>
  <cellStyles count="2">
    <cellStyle name="Comma" xfId="1" builtinId="3"/>
    <cellStyle name="Normal" xfId="0" builtinId="0"/>
  </cellStyles>
  <dxfs count="83">
    <dxf>
      <numFmt numFmtId="166" formatCode="_ [$₹-4009]\ * #,##0.00_ ;_ [$₹-4009]\ * \-#,##0.00_ ;_ [$₹-4009]\ * &quot;-&quot;??_ ;_ @_ "/>
    </dxf>
    <dxf>
      <numFmt numFmtId="166" formatCode="_ [$₹-4009]\ * #,##0.00_ ;_ [$₹-4009]\ * \-#,##0.00_ ;_ [$₹-4009]\ * &quot;-&quot;??_ ;_ @_ "/>
    </dxf>
    <dxf>
      <numFmt numFmtId="2" formatCode="0.00"/>
    </dxf>
    <dxf>
      <numFmt numFmtId="2" formatCode="0.00"/>
    </dxf>
    <dxf>
      <numFmt numFmtId="166" formatCode="_ [$₹-4009]\ * #,##0.00_ ;_ [$₹-4009]\ * \-#,##0.00_ ;_ [$₹-4009]\ * &quot;-&quot;??_ ;_ @_ "/>
    </dxf>
    <dxf>
      <numFmt numFmtId="166" formatCode="_ [$₹-4009]\ * #,##0.00_ ;_ [$₹-4009]\ * \-#,##0.00_ ;_ [$₹-4009]\ * &quot;-&quot;??_ ;_ @_ "/>
    </dxf>
    <dxf>
      <numFmt numFmtId="2" formatCode="0.00"/>
    </dxf>
    <dxf>
      <numFmt numFmtId="2" formatCode="0.00"/>
    </dxf>
    <dxf>
      <numFmt numFmtId="166" formatCode="_ [$₹-4009]\ * #,##0.00_ ;_ [$₹-4009]\ * \-#,##0.00_ ;_ [$₹-4009]\ * &quot;-&quot;??_ ;_ @_ "/>
    </dxf>
    <dxf>
      <numFmt numFmtId="166" formatCode="_ [$₹-4009]\ * #,##0.00_ ;_ [$₹-4009]\ * \-#,##0.00_ ;_ [$₹-4009]\ * &quot;-&quot;??_ ;_ @_ "/>
    </dxf>
    <dxf>
      <numFmt numFmtId="2" formatCode="0.00"/>
    </dxf>
    <dxf>
      <numFmt numFmtId="2" formatCode="0.00"/>
    </dxf>
    <dxf>
      <numFmt numFmtId="166" formatCode="_ [$₹-4009]\ * #,##0.00_ ;_ [$₹-4009]\ * \-#,##0.00_ ;_ [$₹-4009]\ * &quot;-&quot;??_ ;_ @_ "/>
    </dxf>
    <dxf>
      <numFmt numFmtId="166" formatCode="_ [$₹-4009]\ * #,##0.00_ ;_ [$₹-4009]\ * \-#,##0.00_ ;_ [$₹-4009]\ * &quot;-&quot;??_ ;_ @_ "/>
    </dxf>
    <dxf>
      <numFmt numFmtId="2" formatCode="0.00"/>
    </dxf>
    <dxf>
      <numFmt numFmtId="2" formatCode="0.00"/>
    </dxf>
    <dxf>
      <numFmt numFmtId="166" formatCode="_ [$₹-4009]\ * #,##0.00_ ;_ [$₹-4009]\ * \-#,##0.00_ ;_ [$₹-4009]\ * &quot;-&quot;??_ ;_ @_ "/>
    </dxf>
    <dxf>
      <numFmt numFmtId="166" formatCode="_ [$₹-4009]\ * #,##0.00_ ;_ [$₹-4009]\ * \-#,##0.00_ ;_ [$₹-4009]\ * &quot;-&quot;??_ ;_ @_ "/>
    </dxf>
    <dxf>
      <numFmt numFmtId="2" formatCode="0.00"/>
    </dxf>
    <dxf>
      <numFmt numFmtId="2" formatCode="0.00"/>
    </dxf>
    <dxf>
      <font>
        <b/>
        <i/>
        <color theme="0"/>
      </font>
      <fill>
        <patternFill>
          <bgColor rgb="FFFF0000"/>
        </patternFill>
      </fill>
    </dxf>
    <dxf>
      <numFmt numFmtId="0" formatCode="General"/>
    </dxf>
    <dxf>
      <numFmt numFmtId="166" formatCode="_ [$₹-4009]\ * #,##0.00_ ;_ [$₹-4009]\ * \-#,##0.00_ ;_ [$₹-4009]\ * &quot;-&quot;??_ ;_ @_ "/>
    </dxf>
    <dxf>
      <numFmt numFmtId="166" formatCode="_ [$₹-4009]\ * #,##0.00_ ;_ [$₹-4009]\ * \-#,##0.00_ ;_ [$₹-4009]\ * &quot;-&quot;??_ ;_ @_ "/>
    </dxf>
    <dxf>
      <numFmt numFmtId="2" formatCode="0.00"/>
    </dxf>
    <dxf>
      <numFmt numFmtId="2" formatCode="0.00"/>
    </dxf>
    <dxf>
      <numFmt numFmtId="168" formatCode="_ [$₹-4009]\ * #,##0_ ;_ [$₹-4009]\ * \-#,##0_ ;_ [$₹-4009]\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3.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1/relationships/timelineCache" Target="timelineCaches/timelineCach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0.xml"/><Relationship Id="rId28"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5.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 of Employee who left the company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 Summarization'!$D$13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F3-4C5D-8664-4323BEA23E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F3-4C5D-8664-4323BEA23E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Summarization'!$C$14:$C$16</c:f>
              <c:strCache>
                <c:ptCount val="2"/>
                <c:pt idx="0">
                  <c:v>0</c:v>
                </c:pt>
                <c:pt idx="1">
                  <c:v>1</c:v>
                </c:pt>
              </c:strCache>
            </c:strRef>
          </c:cat>
          <c:val>
            <c:numRef>
              <c:f>'Analysis| Summarization'!$D$14:$D$16</c:f>
              <c:numCache>
                <c:formatCode>0.00%</c:formatCode>
                <c:ptCount val="2"/>
                <c:pt idx="0">
                  <c:v>0.91200000000000003</c:v>
                </c:pt>
                <c:pt idx="1">
                  <c:v>8.7999999999999995E-2</c:v>
                </c:pt>
              </c:numCache>
            </c:numRef>
          </c:val>
          <c:extLst>
            <c:ext xmlns:c16="http://schemas.microsoft.com/office/drawing/2014/chart" uri="{C3380CC4-5D6E-409C-BE32-E72D297353CC}">
              <c16:uniqueId val="{00000004-BBF3-4C5D-8664-4323BEA23EF3}"/>
            </c:ext>
          </c:extLst>
        </c:ser>
        <c:dLbls>
          <c:showLegendKey val="0"/>
          <c:showVal val="0"/>
          <c:showCatName val="0"/>
          <c:showSerName val="0"/>
          <c:showPercent val="0"/>
          <c:showBubbleSize val="0"/>
          <c:showLeaderLines val="0"/>
        </c:dLbls>
        <c:firstSliceAng val="83"/>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Projects vs. Performance Ratings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Summarization'!$D$22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 Summarization'!$C$23:$C$33</c:f>
              <c:strCache>
                <c:ptCount val="10"/>
                <c:pt idx="0">
                  <c:v>1</c:v>
                </c:pt>
                <c:pt idx="1">
                  <c:v>2</c:v>
                </c:pt>
                <c:pt idx="2">
                  <c:v>3</c:v>
                </c:pt>
                <c:pt idx="3">
                  <c:v>4</c:v>
                </c:pt>
                <c:pt idx="4">
                  <c:v>5</c:v>
                </c:pt>
                <c:pt idx="5">
                  <c:v>6</c:v>
                </c:pt>
                <c:pt idx="6">
                  <c:v>7</c:v>
                </c:pt>
                <c:pt idx="7">
                  <c:v>8</c:v>
                </c:pt>
                <c:pt idx="8">
                  <c:v>9</c:v>
                </c:pt>
                <c:pt idx="9">
                  <c:v>10</c:v>
                </c:pt>
              </c:strCache>
            </c:strRef>
          </c:cat>
          <c:val>
            <c:numRef>
              <c:f>'Analysis| Summarization'!$D$23:$D$33</c:f>
              <c:numCache>
                <c:formatCode>0.00</c:formatCode>
                <c:ptCount val="10"/>
                <c:pt idx="0">
                  <c:v>3.0181818181818181</c:v>
                </c:pt>
                <c:pt idx="1">
                  <c:v>3.1111111111111112</c:v>
                </c:pt>
                <c:pt idx="2">
                  <c:v>3.263157894736842</c:v>
                </c:pt>
                <c:pt idx="3">
                  <c:v>3.1428571428571428</c:v>
                </c:pt>
                <c:pt idx="4">
                  <c:v>2.8363636363636364</c:v>
                </c:pt>
                <c:pt idx="5">
                  <c:v>3</c:v>
                </c:pt>
                <c:pt idx="6">
                  <c:v>3.0370370370370372</c:v>
                </c:pt>
                <c:pt idx="7">
                  <c:v>2.9411764705882355</c:v>
                </c:pt>
                <c:pt idx="8">
                  <c:v>3.1764705882352939</c:v>
                </c:pt>
                <c:pt idx="9">
                  <c:v>2.8627450980392157</c:v>
                </c:pt>
              </c:numCache>
            </c:numRef>
          </c:val>
          <c:smooth val="0"/>
          <c:extLst>
            <c:ext xmlns:c16="http://schemas.microsoft.com/office/drawing/2014/chart" uri="{C3380CC4-5D6E-409C-BE32-E72D297353CC}">
              <c16:uniqueId val="{00000000-BFD6-4999-B252-5F4D7840B3ED}"/>
            </c:ext>
          </c:extLst>
        </c:ser>
        <c:dLbls>
          <c:showLegendKey val="0"/>
          <c:showVal val="0"/>
          <c:showCatName val="0"/>
          <c:showSerName val="0"/>
          <c:showPercent val="0"/>
          <c:showBubbleSize val="0"/>
        </c:dLbls>
        <c:marker val="1"/>
        <c:smooth val="0"/>
        <c:axId val="1880738671"/>
        <c:axId val="1880741071"/>
      </c:lineChart>
      <c:catAx>
        <c:axId val="1880738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 of Projects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41071"/>
        <c:crosses val="autoZero"/>
        <c:auto val="1"/>
        <c:lblAlgn val="ctr"/>
        <c:lblOffset val="100"/>
        <c:noMultiLvlLbl val="0"/>
      </c:catAx>
      <c:valAx>
        <c:axId val="1880741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738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 &amp; their Top Performers</a:t>
            </a:r>
            <a:r>
              <a:rPr lang="en-US" b="1" baseline="0"/>
              <a:t> Count</a:t>
            </a:r>
            <a:endParaRPr lang="en-US" b="1"/>
          </a:p>
        </c:rich>
      </c:tx>
      <c:layout>
        <c:manualLayout>
          <c:xMode val="edge"/>
          <c:yMode val="edge"/>
          <c:x val="3.271802169845784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Summarization'!$M$24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Summarization'!$L$25:$L$34</c:f>
              <c:strCache>
                <c:ptCount val="9"/>
                <c:pt idx="0">
                  <c:v>Production</c:v>
                </c:pt>
                <c:pt idx="1">
                  <c:v>Development</c:v>
                </c:pt>
                <c:pt idx="2">
                  <c:v>Sales</c:v>
                </c:pt>
                <c:pt idx="3">
                  <c:v>Research</c:v>
                </c:pt>
                <c:pt idx="4">
                  <c:v>Customer Service</c:v>
                </c:pt>
                <c:pt idx="5">
                  <c:v>Finance</c:v>
                </c:pt>
                <c:pt idx="6">
                  <c:v>Marketing</c:v>
                </c:pt>
                <c:pt idx="7">
                  <c:v>Human Resources</c:v>
                </c:pt>
                <c:pt idx="8">
                  <c:v>Quality Management</c:v>
                </c:pt>
              </c:strCache>
            </c:strRef>
          </c:cat>
          <c:val>
            <c:numRef>
              <c:f>'Analysis| Summarization'!$M$25:$M$34</c:f>
              <c:numCache>
                <c:formatCode>General</c:formatCode>
                <c:ptCount val="9"/>
                <c:pt idx="0">
                  <c:v>50</c:v>
                </c:pt>
                <c:pt idx="1">
                  <c:v>41</c:v>
                </c:pt>
                <c:pt idx="2">
                  <c:v>28</c:v>
                </c:pt>
                <c:pt idx="3">
                  <c:v>15</c:v>
                </c:pt>
                <c:pt idx="4">
                  <c:v>15</c:v>
                </c:pt>
                <c:pt idx="5">
                  <c:v>12</c:v>
                </c:pt>
                <c:pt idx="6">
                  <c:v>10</c:v>
                </c:pt>
                <c:pt idx="7">
                  <c:v>9</c:v>
                </c:pt>
                <c:pt idx="8">
                  <c:v>8</c:v>
                </c:pt>
              </c:numCache>
            </c:numRef>
          </c:val>
          <c:extLst>
            <c:ext xmlns:c16="http://schemas.microsoft.com/office/drawing/2014/chart" uri="{C3380CC4-5D6E-409C-BE32-E72D297353CC}">
              <c16:uniqueId val="{00000000-EB6D-41F0-B085-CFF5312AA57E}"/>
            </c:ext>
          </c:extLst>
        </c:ser>
        <c:dLbls>
          <c:dLblPos val="outEnd"/>
          <c:showLegendKey val="0"/>
          <c:showVal val="1"/>
          <c:showCatName val="0"/>
          <c:showSerName val="0"/>
          <c:showPercent val="0"/>
          <c:showBubbleSize val="0"/>
        </c:dLbls>
        <c:gapWidth val="182"/>
        <c:axId val="1477299887"/>
        <c:axId val="1477316687"/>
      </c:barChart>
      <c:catAx>
        <c:axId val="147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16687"/>
        <c:crosses val="autoZero"/>
        <c:auto val="1"/>
        <c:lblAlgn val="ctr"/>
        <c:lblOffset val="100"/>
        <c:noMultiLvlLbl val="0"/>
      </c:catAx>
      <c:valAx>
        <c:axId val="1477316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9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a:t>
            </a:r>
            <a:r>
              <a:rPr lang="en-US" b="1" baseline="0"/>
              <a:t> per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Summarization'!$D$42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Summarization'!$C$43:$C$52</c:f>
              <c:strCache>
                <c:ptCount val="9"/>
                <c:pt idx="0">
                  <c:v>Customer Service</c:v>
                </c:pt>
                <c:pt idx="1">
                  <c:v>Development</c:v>
                </c:pt>
                <c:pt idx="2">
                  <c:v>Finance</c:v>
                </c:pt>
                <c:pt idx="3">
                  <c:v>Human Resources</c:v>
                </c:pt>
                <c:pt idx="4">
                  <c:v>Marketing</c:v>
                </c:pt>
                <c:pt idx="5">
                  <c:v>Production</c:v>
                </c:pt>
                <c:pt idx="6">
                  <c:v>Quality Management</c:v>
                </c:pt>
                <c:pt idx="7">
                  <c:v>Research</c:v>
                </c:pt>
                <c:pt idx="8">
                  <c:v>Sales</c:v>
                </c:pt>
              </c:strCache>
            </c:strRef>
          </c:cat>
          <c:val>
            <c:numRef>
              <c:f>'Analysis| Summarization'!$D$43:$D$52</c:f>
              <c:numCache>
                <c:formatCode>_ [$₹-4009]\ * #,##0.00_ ;_ [$₹-4009]\ * \-#,##0.00_ ;_ [$₹-4009]\ * "-"??_ ;_ @_ </c:formatCode>
                <c:ptCount val="9"/>
                <c:pt idx="0">
                  <c:v>48253.888888888891</c:v>
                </c:pt>
                <c:pt idx="1">
                  <c:v>48362.053846153845</c:v>
                </c:pt>
                <c:pt idx="2">
                  <c:v>59878.666666666664</c:v>
                </c:pt>
                <c:pt idx="3">
                  <c:v>48254.592592592591</c:v>
                </c:pt>
                <c:pt idx="4">
                  <c:v>65131.666666666664</c:v>
                </c:pt>
                <c:pt idx="5">
                  <c:v>48702.5</c:v>
                </c:pt>
                <c:pt idx="6">
                  <c:v>49048.037037037036</c:v>
                </c:pt>
                <c:pt idx="7">
                  <c:v>48469.92682926829</c:v>
                </c:pt>
                <c:pt idx="8">
                  <c:v>69925.346666666665</c:v>
                </c:pt>
              </c:numCache>
            </c:numRef>
          </c:val>
          <c:extLst>
            <c:ext xmlns:c16="http://schemas.microsoft.com/office/drawing/2014/chart" uri="{C3380CC4-5D6E-409C-BE32-E72D297353CC}">
              <c16:uniqueId val="{00000000-9399-447B-B20C-A5F016BE96AB}"/>
            </c:ext>
          </c:extLst>
        </c:ser>
        <c:dLbls>
          <c:dLblPos val="outEnd"/>
          <c:showLegendKey val="0"/>
          <c:showVal val="1"/>
          <c:showCatName val="0"/>
          <c:showSerName val="0"/>
          <c:showPercent val="0"/>
          <c:showBubbleSize val="0"/>
        </c:dLbls>
        <c:gapWidth val="182"/>
        <c:axId val="1477332527"/>
        <c:axId val="1477344047"/>
      </c:barChart>
      <c:catAx>
        <c:axId val="147733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44047"/>
        <c:crosses val="autoZero"/>
        <c:auto val="1"/>
        <c:lblAlgn val="ctr"/>
        <c:lblOffset val="100"/>
        <c:noMultiLvlLbl val="0"/>
      </c:catAx>
      <c:valAx>
        <c:axId val="1477344047"/>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3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Hiring per Department for last 2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Summarization'!$I$60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Summarization'!$H$61:$H$67</c:f>
              <c:strCache>
                <c:ptCount val="6"/>
                <c:pt idx="0">
                  <c:v>Customer Service</c:v>
                </c:pt>
                <c:pt idx="1">
                  <c:v>Development</c:v>
                </c:pt>
                <c:pt idx="2">
                  <c:v>Human Resources</c:v>
                </c:pt>
                <c:pt idx="3">
                  <c:v>Production</c:v>
                </c:pt>
                <c:pt idx="4">
                  <c:v>Quality Management</c:v>
                </c:pt>
                <c:pt idx="5">
                  <c:v>Research</c:v>
                </c:pt>
              </c:strCache>
            </c:strRef>
          </c:cat>
          <c:val>
            <c:numRef>
              <c:f>'Analysis| Summarization'!$I$61:$I$67</c:f>
              <c:numCache>
                <c:formatCode>General</c:formatCode>
                <c:ptCount val="6"/>
                <c:pt idx="0">
                  <c:v>1</c:v>
                </c:pt>
                <c:pt idx="1">
                  <c:v>3</c:v>
                </c:pt>
                <c:pt idx="2">
                  <c:v>1</c:v>
                </c:pt>
                <c:pt idx="3">
                  <c:v>2</c:v>
                </c:pt>
                <c:pt idx="4">
                  <c:v>1</c:v>
                </c:pt>
                <c:pt idx="5">
                  <c:v>3</c:v>
                </c:pt>
              </c:numCache>
            </c:numRef>
          </c:val>
          <c:smooth val="0"/>
          <c:extLst>
            <c:ext xmlns:c16="http://schemas.microsoft.com/office/drawing/2014/chart" uri="{C3380CC4-5D6E-409C-BE32-E72D297353CC}">
              <c16:uniqueId val="{00000000-325C-49B3-AEC6-EC17D6C2BA5A}"/>
            </c:ext>
          </c:extLst>
        </c:ser>
        <c:dLbls>
          <c:dLblPos val="t"/>
          <c:showLegendKey val="0"/>
          <c:showVal val="1"/>
          <c:showCatName val="0"/>
          <c:showSerName val="0"/>
          <c:showPercent val="0"/>
          <c:showBubbleSize val="0"/>
        </c:dLbls>
        <c:marker val="1"/>
        <c:smooth val="0"/>
        <c:axId val="1477283087"/>
        <c:axId val="1477269167"/>
      </c:lineChart>
      <c:catAx>
        <c:axId val="14772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69167"/>
        <c:crosses val="autoZero"/>
        <c:auto val="1"/>
        <c:lblAlgn val="ctr"/>
        <c:lblOffset val="100"/>
        <c:noMultiLvlLbl val="0"/>
      </c:catAx>
      <c:valAx>
        <c:axId val="147726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2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vs. Salary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'Analysis| Summarization'!$J$42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19-45D7-89CF-E88A01B2FD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19-45D7-89CF-E88A01B2FD0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Summarization'!$I$43:$I$45</c:f>
              <c:strCache>
                <c:ptCount val="2"/>
                <c:pt idx="0">
                  <c:v>F</c:v>
                </c:pt>
                <c:pt idx="1">
                  <c:v>M</c:v>
                </c:pt>
              </c:strCache>
            </c:strRef>
          </c:cat>
          <c:val>
            <c:numRef>
              <c:f>'Analysis| Summarization'!$J$43:$J$45</c:f>
              <c:numCache>
                <c:formatCode>_ [$₹-4009]\ * #,##0.00_ ;_ [$₹-4009]\ * \-#,##0.00_ ;_ [$₹-4009]\ * "-"??_ ;_ @_ </c:formatCode>
                <c:ptCount val="2"/>
                <c:pt idx="0">
                  <c:v>54052.298969072166</c:v>
                </c:pt>
                <c:pt idx="1">
                  <c:v>52607.633986928107</c:v>
                </c:pt>
              </c:numCache>
            </c:numRef>
          </c:val>
          <c:extLst>
            <c:ext xmlns:c16="http://schemas.microsoft.com/office/drawing/2014/chart" uri="{C3380CC4-5D6E-409C-BE32-E72D297353CC}">
              <c16:uniqueId val="{00000004-E919-45D7-89CF-E88A01B2FD0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Analysis_15-12-2025.xlsx]Analysis| Summarization!PivotTable8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Hiring Trends over the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Summarization'!$D$57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'Analysis| Summarization'!$C$58:$C$73</c:f>
              <c:strCache>
                <c:ptCount val="15"/>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strCache>
            </c:strRef>
          </c:cat>
          <c:val>
            <c:numRef>
              <c:f>'Analysis| Summarization'!$D$58:$D$73</c:f>
              <c:numCache>
                <c:formatCode>General</c:formatCode>
                <c:ptCount val="15"/>
                <c:pt idx="0">
                  <c:v>51</c:v>
                </c:pt>
                <c:pt idx="1">
                  <c:v>69</c:v>
                </c:pt>
                <c:pt idx="2">
                  <c:v>56</c:v>
                </c:pt>
                <c:pt idx="3">
                  <c:v>52</c:v>
                </c:pt>
                <c:pt idx="4">
                  <c:v>44</c:v>
                </c:pt>
                <c:pt idx="5">
                  <c:v>50</c:v>
                </c:pt>
                <c:pt idx="6">
                  <c:v>41</c:v>
                </c:pt>
                <c:pt idx="7">
                  <c:v>41</c:v>
                </c:pt>
                <c:pt idx="8">
                  <c:v>23</c:v>
                </c:pt>
                <c:pt idx="9">
                  <c:v>24</c:v>
                </c:pt>
                <c:pt idx="10">
                  <c:v>22</c:v>
                </c:pt>
                <c:pt idx="11">
                  <c:v>10</c:v>
                </c:pt>
                <c:pt idx="12">
                  <c:v>6</c:v>
                </c:pt>
                <c:pt idx="13">
                  <c:v>6</c:v>
                </c:pt>
                <c:pt idx="14">
                  <c:v>5</c:v>
                </c:pt>
              </c:numCache>
            </c:numRef>
          </c:val>
          <c:smooth val="0"/>
          <c:extLst>
            <c:ext xmlns:c16="http://schemas.microsoft.com/office/drawing/2014/chart" uri="{C3380CC4-5D6E-409C-BE32-E72D297353CC}">
              <c16:uniqueId val="{00000002-EC7E-4DA5-97B2-4DFCD06D0CBD}"/>
            </c:ext>
          </c:extLst>
        </c:ser>
        <c:dLbls>
          <c:dLblPos val="t"/>
          <c:showLegendKey val="0"/>
          <c:showVal val="1"/>
          <c:showCatName val="0"/>
          <c:showSerName val="0"/>
          <c:showPercent val="0"/>
          <c:showBubbleSize val="0"/>
        </c:dLbls>
        <c:marker val="1"/>
        <c:smooth val="0"/>
        <c:axId val="1477356047"/>
        <c:axId val="1477356527"/>
      </c:lineChart>
      <c:catAx>
        <c:axId val="14773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56527"/>
        <c:crosses val="autoZero"/>
        <c:auto val="1"/>
        <c:lblAlgn val="ctr"/>
        <c:lblOffset val="100"/>
        <c:noMultiLvlLbl val="0"/>
      </c:catAx>
      <c:valAx>
        <c:axId val="147735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5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104775</xdr:colOff>
      <xdr:row>3</xdr:row>
      <xdr:rowOff>47625</xdr:rowOff>
    </xdr:from>
    <xdr:to>
      <xdr:col>5</xdr:col>
      <xdr:colOff>542925</xdr:colOff>
      <xdr:row>4</xdr:row>
      <xdr:rowOff>142875</xdr:rowOff>
    </xdr:to>
    <xdr:sp macro="" textlink="">
      <xdr:nvSpPr>
        <xdr:cNvPr id="2" name="TextBox 1">
          <a:extLst>
            <a:ext uri="{FF2B5EF4-FFF2-40B4-BE49-F238E27FC236}">
              <a16:creationId xmlns:a16="http://schemas.microsoft.com/office/drawing/2014/main" id="{19A0D8BA-CF54-ACCC-EE83-3262E42B2D99}"/>
            </a:ext>
          </a:extLst>
        </xdr:cNvPr>
        <xdr:cNvSpPr txBox="1"/>
      </xdr:nvSpPr>
      <xdr:spPr>
        <a:xfrm>
          <a:off x="1323975" y="628650"/>
          <a:ext cx="1657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CHURNED EMPLOYEES</a:t>
          </a:r>
        </a:p>
      </xdr:txBody>
    </xdr:sp>
    <xdr:clientData/>
  </xdr:twoCellAnchor>
  <xdr:twoCellAnchor>
    <xdr:from>
      <xdr:col>6</xdr:col>
      <xdr:colOff>104775</xdr:colOff>
      <xdr:row>3</xdr:row>
      <xdr:rowOff>47625</xdr:rowOff>
    </xdr:from>
    <xdr:to>
      <xdr:col>8</xdr:col>
      <xdr:colOff>542925</xdr:colOff>
      <xdr:row>4</xdr:row>
      <xdr:rowOff>142875</xdr:rowOff>
    </xdr:to>
    <xdr:sp macro="" textlink="">
      <xdr:nvSpPr>
        <xdr:cNvPr id="4" name="TextBox 3">
          <a:extLst>
            <a:ext uri="{FF2B5EF4-FFF2-40B4-BE49-F238E27FC236}">
              <a16:creationId xmlns:a16="http://schemas.microsoft.com/office/drawing/2014/main" id="{A3670896-CFBC-4980-A701-C65E9B98F97F}"/>
            </a:ext>
          </a:extLst>
        </xdr:cNvPr>
        <xdr:cNvSpPr txBox="1"/>
      </xdr:nvSpPr>
      <xdr:spPr>
        <a:xfrm>
          <a:off x="1323975" y="628650"/>
          <a:ext cx="1657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LEARDERS </a:t>
          </a:r>
        </a:p>
        <a:p>
          <a:pPr algn="ctr"/>
          <a:endParaRPr lang="en-IN" sz="1100" b="1"/>
        </a:p>
      </xdr:txBody>
    </xdr:sp>
    <xdr:clientData/>
  </xdr:twoCellAnchor>
  <xdr:twoCellAnchor>
    <xdr:from>
      <xdr:col>9</xdr:col>
      <xdr:colOff>104775</xdr:colOff>
      <xdr:row>3</xdr:row>
      <xdr:rowOff>47625</xdr:rowOff>
    </xdr:from>
    <xdr:to>
      <xdr:col>11</xdr:col>
      <xdr:colOff>542925</xdr:colOff>
      <xdr:row>4</xdr:row>
      <xdr:rowOff>142875</xdr:rowOff>
    </xdr:to>
    <xdr:sp macro="" textlink="">
      <xdr:nvSpPr>
        <xdr:cNvPr id="6" name="TextBox 5">
          <a:extLst>
            <a:ext uri="{FF2B5EF4-FFF2-40B4-BE49-F238E27FC236}">
              <a16:creationId xmlns:a16="http://schemas.microsoft.com/office/drawing/2014/main" id="{057DBF09-FA27-4575-9C92-BC27A96C7FBA}"/>
            </a:ext>
          </a:extLst>
        </xdr:cNvPr>
        <xdr:cNvSpPr txBox="1"/>
      </xdr:nvSpPr>
      <xdr:spPr>
        <a:xfrm>
          <a:off x="3152775" y="628650"/>
          <a:ext cx="1657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STILL</a:t>
          </a:r>
          <a:r>
            <a:rPr lang="en-IN" sz="1100" b="1" baseline="0"/>
            <a:t> WORKING</a:t>
          </a:r>
          <a:endParaRPr lang="en-IN" sz="1100" b="1"/>
        </a:p>
      </xdr:txBody>
    </xdr:sp>
    <xdr:clientData/>
  </xdr:twoCellAnchor>
  <xdr:twoCellAnchor>
    <xdr:from>
      <xdr:col>12</xdr:col>
      <xdr:colOff>104775</xdr:colOff>
      <xdr:row>3</xdr:row>
      <xdr:rowOff>47625</xdr:rowOff>
    </xdr:from>
    <xdr:to>
      <xdr:col>14</xdr:col>
      <xdr:colOff>542925</xdr:colOff>
      <xdr:row>4</xdr:row>
      <xdr:rowOff>142875</xdr:rowOff>
    </xdr:to>
    <xdr:sp macro="" textlink="">
      <xdr:nvSpPr>
        <xdr:cNvPr id="8" name="TextBox 7">
          <a:extLst>
            <a:ext uri="{FF2B5EF4-FFF2-40B4-BE49-F238E27FC236}">
              <a16:creationId xmlns:a16="http://schemas.microsoft.com/office/drawing/2014/main" id="{3EDE67B3-EDB7-46C0-9A5D-18676C2B97D6}"/>
            </a:ext>
          </a:extLst>
        </xdr:cNvPr>
        <xdr:cNvSpPr txBox="1"/>
      </xdr:nvSpPr>
      <xdr:spPr>
        <a:xfrm>
          <a:off x="4981575" y="628650"/>
          <a:ext cx="1657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EMPLOYEES</a:t>
          </a:r>
        </a:p>
      </xdr:txBody>
    </xdr:sp>
    <xdr:clientData/>
  </xdr:twoCellAnchor>
  <xdr:twoCellAnchor>
    <xdr:from>
      <xdr:col>15</xdr:col>
      <xdr:colOff>104775</xdr:colOff>
      <xdr:row>3</xdr:row>
      <xdr:rowOff>47625</xdr:rowOff>
    </xdr:from>
    <xdr:to>
      <xdr:col>17</xdr:col>
      <xdr:colOff>542925</xdr:colOff>
      <xdr:row>4</xdr:row>
      <xdr:rowOff>142875</xdr:rowOff>
    </xdr:to>
    <xdr:sp macro="" textlink="">
      <xdr:nvSpPr>
        <xdr:cNvPr id="9" name="TextBox 8">
          <a:extLst>
            <a:ext uri="{FF2B5EF4-FFF2-40B4-BE49-F238E27FC236}">
              <a16:creationId xmlns:a16="http://schemas.microsoft.com/office/drawing/2014/main" id="{AE634BA0-0A66-46D2-8268-277CE281C8D9}"/>
            </a:ext>
          </a:extLst>
        </xdr:cNvPr>
        <xdr:cNvSpPr txBox="1"/>
      </xdr:nvSpPr>
      <xdr:spPr>
        <a:xfrm>
          <a:off x="6810375" y="628650"/>
          <a:ext cx="16573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AVG.</a:t>
          </a:r>
          <a:r>
            <a:rPr lang="en-IN" sz="1100" b="1" baseline="0"/>
            <a:t> TENURE WHO LEFT</a:t>
          </a:r>
        </a:p>
      </xdr:txBody>
    </xdr:sp>
    <xdr:clientData/>
  </xdr:twoCellAnchor>
  <xdr:twoCellAnchor>
    <xdr:from>
      <xdr:col>2</xdr:col>
      <xdr:colOff>596945</xdr:colOff>
      <xdr:row>6</xdr:row>
      <xdr:rowOff>28014</xdr:rowOff>
    </xdr:from>
    <xdr:to>
      <xdr:col>8</xdr:col>
      <xdr:colOff>462242</xdr:colOff>
      <xdr:row>19</xdr:row>
      <xdr:rowOff>70037</xdr:rowOff>
    </xdr:to>
    <xdr:graphicFrame macro="">
      <xdr:nvGraphicFramePr>
        <xdr:cNvPr id="10" name="Chart 9">
          <a:extLst>
            <a:ext uri="{FF2B5EF4-FFF2-40B4-BE49-F238E27FC236}">
              <a16:creationId xmlns:a16="http://schemas.microsoft.com/office/drawing/2014/main" id="{8EF662D3-6B4E-405E-8B28-AE2A1066E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2799</xdr:colOff>
      <xdr:row>19</xdr:row>
      <xdr:rowOff>81111</xdr:rowOff>
    </xdr:from>
    <xdr:to>
      <xdr:col>14</xdr:col>
      <xdr:colOff>602315</xdr:colOff>
      <xdr:row>33</xdr:row>
      <xdr:rowOff>168087</xdr:rowOff>
    </xdr:to>
    <xdr:graphicFrame macro="">
      <xdr:nvGraphicFramePr>
        <xdr:cNvPr id="11" name="Chart 10">
          <a:extLst>
            <a:ext uri="{FF2B5EF4-FFF2-40B4-BE49-F238E27FC236}">
              <a16:creationId xmlns:a16="http://schemas.microsoft.com/office/drawing/2014/main" id="{6BFE8A1E-CADD-4205-BD76-2C8C6802F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587205</xdr:colOff>
      <xdr:row>6</xdr:row>
      <xdr:rowOff>16454</xdr:rowOff>
    </xdr:from>
    <xdr:to>
      <xdr:col>21</xdr:col>
      <xdr:colOff>602315</xdr:colOff>
      <xdr:row>22</xdr:row>
      <xdr:rowOff>182094</xdr:rowOff>
    </xdr:to>
    <xdr:graphicFrame macro="">
      <xdr:nvGraphicFramePr>
        <xdr:cNvPr id="12" name="Chart 11">
          <a:extLst>
            <a:ext uri="{FF2B5EF4-FFF2-40B4-BE49-F238E27FC236}">
              <a16:creationId xmlns:a16="http://schemas.microsoft.com/office/drawing/2014/main" id="{F829C625-24EB-465C-8D68-2E588B3C6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602316</xdr:colOff>
      <xdr:row>22</xdr:row>
      <xdr:rowOff>184574</xdr:rowOff>
    </xdr:from>
    <xdr:to>
      <xdr:col>21</xdr:col>
      <xdr:colOff>602316</xdr:colOff>
      <xdr:row>42</xdr:row>
      <xdr:rowOff>182094</xdr:rowOff>
    </xdr:to>
    <xdr:graphicFrame macro="">
      <xdr:nvGraphicFramePr>
        <xdr:cNvPr id="13" name="Chart 12">
          <a:extLst>
            <a:ext uri="{FF2B5EF4-FFF2-40B4-BE49-F238E27FC236}">
              <a16:creationId xmlns:a16="http://schemas.microsoft.com/office/drawing/2014/main" id="{35CBCED2-CFEC-480D-BF81-3DF9612F6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580645</xdr:colOff>
      <xdr:row>42</xdr:row>
      <xdr:rowOff>181048</xdr:rowOff>
    </xdr:from>
    <xdr:to>
      <xdr:col>22</xdr:col>
      <xdr:colOff>56031</xdr:colOff>
      <xdr:row>56</xdr:row>
      <xdr:rowOff>117497</xdr:rowOff>
    </xdr:to>
    <xdr:graphicFrame macro="">
      <xdr:nvGraphicFramePr>
        <xdr:cNvPr id="16" name="Chart 15">
          <a:extLst>
            <a:ext uri="{FF2B5EF4-FFF2-40B4-BE49-F238E27FC236}">
              <a16:creationId xmlns:a16="http://schemas.microsoft.com/office/drawing/2014/main" id="{60AB83ED-E4FF-4EE0-8F28-BB847685F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448235</xdr:colOff>
      <xdr:row>6</xdr:row>
      <xdr:rowOff>-1</xdr:rowOff>
    </xdr:from>
    <xdr:to>
      <xdr:col>14</xdr:col>
      <xdr:colOff>574301</xdr:colOff>
      <xdr:row>19</xdr:row>
      <xdr:rowOff>98051</xdr:rowOff>
    </xdr:to>
    <xdr:graphicFrame macro="">
      <xdr:nvGraphicFramePr>
        <xdr:cNvPr id="17" name="Chart 16">
          <a:extLst>
            <a:ext uri="{FF2B5EF4-FFF2-40B4-BE49-F238E27FC236}">
              <a16:creationId xmlns:a16="http://schemas.microsoft.com/office/drawing/2014/main" id="{0C75BE8B-3BCE-4F2C-A1EE-BE6EC9524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33</xdr:row>
      <xdr:rowOff>168088</xdr:rowOff>
    </xdr:from>
    <xdr:to>
      <xdr:col>14</xdr:col>
      <xdr:colOff>574301</xdr:colOff>
      <xdr:row>45</xdr:row>
      <xdr:rowOff>112059</xdr:rowOff>
    </xdr:to>
    <xdr:graphicFrame macro="">
      <xdr:nvGraphicFramePr>
        <xdr:cNvPr id="18" name="Chart 17">
          <a:extLst>
            <a:ext uri="{FF2B5EF4-FFF2-40B4-BE49-F238E27FC236}">
              <a16:creationId xmlns:a16="http://schemas.microsoft.com/office/drawing/2014/main" id="{70D72B93-FFA2-4DBF-B0E4-FDFF67858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xdr:row>
      <xdr:rowOff>560</xdr:rowOff>
    </xdr:from>
    <xdr:to>
      <xdr:col>2</xdr:col>
      <xdr:colOff>585271</xdr:colOff>
      <xdr:row>7</xdr:row>
      <xdr:rowOff>98051</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634DFF79-F6AD-F11F-6804-5623C4759A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85667"/>
              <a:ext cx="1809914" cy="873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7</xdr:row>
      <xdr:rowOff>98612</xdr:rowOff>
    </xdr:from>
    <xdr:to>
      <xdr:col>2</xdr:col>
      <xdr:colOff>602316</xdr:colOff>
      <xdr:row>12</xdr:row>
      <xdr:rowOff>168090</xdr:rowOff>
    </xdr:to>
    <mc:AlternateContent xmlns:mc="http://schemas.openxmlformats.org/markup-compatibility/2006">
      <mc:Choice xmlns:a14="http://schemas.microsoft.com/office/drawing/2010/main" Requires="a14">
        <xdr:graphicFrame macro="">
          <xdr:nvGraphicFramePr>
            <xdr:cNvPr id="20" name="Left?">
              <a:extLst>
                <a:ext uri="{FF2B5EF4-FFF2-40B4-BE49-F238E27FC236}">
                  <a16:creationId xmlns:a16="http://schemas.microsoft.com/office/drawing/2014/main" id="{E3A7ECC4-5412-7B8C-2C00-272BFFA48855}"/>
                </a:ext>
              </a:extLst>
            </xdr:cNvPr>
            <xdr:cNvGraphicFramePr/>
          </xdr:nvGraphicFramePr>
          <xdr:xfrm>
            <a:off x="0" y="0"/>
            <a:ext cx="0" cy="0"/>
          </xdr:xfrm>
          <a:graphic>
            <a:graphicData uri="http://schemas.microsoft.com/office/drawing/2010/slicer">
              <sle:slicer xmlns:sle="http://schemas.microsoft.com/office/drawing/2010/slicer" name="Left?"/>
            </a:graphicData>
          </a:graphic>
        </xdr:graphicFrame>
      </mc:Choice>
      <mc:Fallback>
        <xdr:sp macro="" textlink="">
          <xdr:nvSpPr>
            <xdr:cNvPr id="0" name=""/>
            <xdr:cNvSpPr>
              <a:spLocks noTextEdit="1"/>
            </xdr:cNvSpPr>
          </xdr:nvSpPr>
          <xdr:spPr>
            <a:xfrm>
              <a:off x="0" y="1459326"/>
              <a:ext cx="1826959" cy="1021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12</xdr:row>
      <xdr:rowOff>182656</xdr:rowOff>
    </xdr:from>
    <xdr:to>
      <xdr:col>2</xdr:col>
      <xdr:colOff>596153</xdr:colOff>
      <xdr:row>21</xdr:row>
      <xdr:rowOff>126066</xdr:rowOff>
    </xdr:to>
    <mc:AlternateContent xmlns:mc="http://schemas.openxmlformats.org/markup-compatibility/2006">
      <mc:Choice xmlns:a14="http://schemas.microsoft.com/office/drawing/2010/main" Requires="a14">
        <xdr:graphicFrame macro="">
          <xdr:nvGraphicFramePr>
            <xdr:cNvPr id="21" name="Last_performance_rating">
              <a:extLst>
                <a:ext uri="{FF2B5EF4-FFF2-40B4-BE49-F238E27FC236}">
                  <a16:creationId xmlns:a16="http://schemas.microsoft.com/office/drawing/2014/main" id="{90B9D107-2689-F6F5-98B5-BF6ED752CF83}"/>
                </a:ext>
              </a:extLst>
            </xdr:cNvPr>
            <xdr:cNvGraphicFramePr/>
          </xdr:nvGraphicFramePr>
          <xdr:xfrm>
            <a:off x="0" y="0"/>
            <a:ext cx="0" cy="0"/>
          </xdr:xfrm>
          <a:graphic>
            <a:graphicData uri="http://schemas.microsoft.com/office/drawing/2010/slicer">
              <sle:slicer xmlns:sle="http://schemas.microsoft.com/office/drawing/2010/slicer" name="Last_performance_rating"/>
            </a:graphicData>
          </a:graphic>
        </xdr:graphicFrame>
      </mc:Choice>
      <mc:Fallback>
        <xdr:sp macro="" textlink="">
          <xdr:nvSpPr>
            <xdr:cNvPr id="0" name=""/>
            <xdr:cNvSpPr>
              <a:spLocks noTextEdit="1"/>
            </xdr:cNvSpPr>
          </xdr:nvSpPr>
          <xdr:spPr>
            <a:xfrm>
              <a:off x="0" y="2495870"/>
              <a:ext cx="1820796" cy="1657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24652</xdr:colOff>
      <xdr:row>21</xdr:row>
      <xdr:rowOff>140634</xdr:rowOff>
    </xdr:from>
    <xdr:to>
      <xdr:col>3</xdr:col>
      <xdr:colOff>4481</xdr:colOff>
      <xdr:row>31</xdr:row>
      <xdr:rowOff>182097</xdr:rowOff>
    </xdr:to>
    <mc:AlternateContent xmlns:mc="http://schemas.openxmlformats.org/markup-compatibility/2006">
      <mc:Choice xmlns:a14="http://schemas.microsoft.com/office/drawing/2010/main" Requires="a14">
        <xdr:graphicFrame macro="">
          <xdr:nvGraphicFramePr>
            <xdr:cNvPr id="22" name="Title">
              <a:extLst>
                <a:ext uri="{FF2B5EF4-FFF2-40B4-BE49-F238E27FC236}">
                  <a16:creationId xmlns:a16="http://schemas.microsoft.com/office/drawing/2014/main" id="{E0043078-3E63-B76E-65B1-BB128B44F1D3}"/>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24652" y="4168348"/>
              <a:ext cx="1816793" cy="1946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14007</xdr:colOff>
      <xdr:row>32</xdr:row>
      <xdr:rowOff>14568</xdr:rowOff>
    </xdr:from>
    <xdr:to>
      <xdr:col>2</xdr:col>
      <xdr:colOff>610160</xdr:colOff>
      <xdr:row>45</xdr:row>
      <xdr:rowOff>98052</xdr:rowOff>
    </xdr:to>
    <mc:AlternateContent xmlns:mc="http://schemas.openxmlformats.org/markup-compatibility/2006">
      <mc:Choice xmlns:a14="http://schemas.microsoft.com/office/drawing/2010/main" Requires="a14">
        <xdr:graphicFrame macro="">
          <xdr:nvGraphicFramePr>
            <xdr:cNvPr id="23" name="Dep_Name">
              <a:extLst>
                <a:ext uri="{FF2B5EF4-FFF2-40B4-BE49-F238E27FC236}">
                  <a16:creationId xmlns:a16="http://schemas.microsoft.com/office/drawing/2014/main" id="{8585590A-4E58-D2FD-AC1D-B781B421BE92}"/>
                </a:ext>
              </a:extLst>
            </xdr:cNvPr>
            <xdr:cNvGraphicFramePr/>
          </xdr:nvGraphicFramePr>
          <xdr:xfrm>
            <a:off x="0" y="0"/>
            <a:ext cx="0" cy="0"/>
          </xdr:xfrm>
          <a:graphic>
            <a:graphicData uri="http://schemas.microsoft.com/office/drawing/2010/slicer">
              <sle:slicer xmlns:sle="http://schemas.microsoft.com/office/drawing/2010/slicer" name="Dep_Name"/>
            </a:graphicData>
          </a:graphic>
        </xdr:graphicFrame>
      </mc:Choice>
      <mc:Fallback>
        <xdr:sp macro="" textlink="">
          <xdr:nvSpPr>
            <xdr:cNvPr id="0" name=""/>
            <xdr:cNvSpPr>
              <a:spLocks noTextEdit="1"/>
            </xdr:cNvSpPr>
          </xdr:nvSpPr>
          <xdr:spPr>
            <a:xfrm>
              <a:off x="14007" y="6137782"/>
              <a:ext cx="1820796" cy="2559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28015</xdr:colOff>
      <xdr:row>45</xdr:row>
      <xdr:rowOff>119903</xdr:rowOff>
    </xdr:from>
    <xdr:to>
      <xdr:col>14</xdr:col>
      <xdr:colOff>574301</xdr:colOff>
      <xdr:row>56</xdr:row>
      <xdr:rowOff>168087</xdr:rowOff>
    </xdr:to>
    <mc:AlternateContent xmlns:mc="http://schemas.openxmlformats.org/markup-compatibility/2006">
      <mc:Choice xmlns:tsle="http://schemas.microsoft.com/office/drawing/2012/timeslicer" Requires="tsle">
        <xdr:graphicFrame macro="">
          <xdr:nvGraphicFramePr>
            <xdr:cNvPr id="24" name="DoJ">
              <a:extLst>
                <a:ext uri="{FF2B5EF4-FFF2-40B4-BE49-F238E27FC236}">
                  <a16:creationId xmlns:a16="http://schemas.microsoft.com/office/drawing/2014/main" id="{BA6CFA54-EA14-0DF8-F3DD-142B794777D3}"/>
                </a:ext>
              </a:extLst>
            </xdr:cNvPr>
            <xdr:cNvGraphicFramePr/>
          </xdr:nvGraphicFramePr>
          <xdr:xfrm>
            <a:off x="0" y="0"/>
            <a:ext cx="0" cy="0"/>
          </xdr:xfrm>
          <a:graphic>
            <a:graphicData uri="http://schemas.microsoft.com/office/drawing/2012/timeslicer">
              <tsle:timeslicer xmlns:tsle="http://schemas.microsoft.com/office/drawing/2012/timeslicer" name="DoJ"/>
            </a:graphicData>
          </a:graphic>
        </xdr:graphicFrame>
      </mc:Choice>
      <mc:Fallback>
        <xdr:sp macro="" textlink="">
          <xdr:nvSpPr>
            <xdr:cNvPr id="0" name=""/>
            <xdr:cNvSpPr>
              <a:spLocks noTextEdit="1"/>
            </xdr:cNvSpPr>
          </xdr:nvSpPr>
          <xdr:spPr>
            <a:xfrm>
              <a:off x="28015" y="8719617"/>
              <a:ext cx="9118786" cy="21436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2407409" backgroundQuery="1" createdVersion="8" refreshedVersion="8" minRefreshableVersion="3" recordCount="0" supportSubquery="1" supportAdvancedDrill="1" xr:uid="{FB813A13-0FC4-4EBF-AF41-91C5E129F34E}">
  <cacheSource type="external" connectionId="3"/>
  <cacheFields count="3">
    <cacheField name="[Emp_Info].[Left?].[Left?]" caption="Left?" numFmtId="0" hierarchy="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Emp_Info].[Left?].&amp;[0]"/>
            <x15:cachedUniqueName index="1" name="[Emp_Info].[Left?].&amp;[1]"/>
          </x15:cachedUniqueNames>
        </ext>
      </extLst>
    </cacheField>
    <cacheField name="[Measures].[Count of Emp_Names]" caption="Count of Emp_Names" numFmtId="0" hierarchy="23" level="32767"/>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2" memberValueDatatype="130" unbalanced="0"/>
    <cacheHierarchy uniqueName="[Dep_Info].[Dept_Id]" caption="Dept_Id" attribute="1" defaultMemberUniqueName="[Dep_Info].[Dept_Id].[All]" allUniqueName="[Dep_Info].[Dept_Id].[All]" dimensionUniqueName="[Dep_Info]" displayFolder="" count="2" memberValueDatatype="130" unbalanced="0"/>
    <cacheHierarchy uniqueName="[Emp_Info].[Emp_Id]" caption="Emp_Id" attribute="1" defaultMemberUniqueName="[Emp_Info].[Emp_Id].[All]" allUniqueName="[Emp_Info].[Emp_Id].[All]" dimensionUniqueName="[Emp_Info]" displayFolder="" count="2" memberValueDatatype="20" unbalanced="0"/>
    <cacheHierarchy uniqueName="[Emp_Info].[Emp_Names]" caption="Emp_Names" attribute="1" defaultMemberUniqueName="[Emp_Info].[Emp_Names].[All]" allUniqueName="[Emp_Info].[Emp_Names].[All]" dimensionUniqueName="[Emp_Info]" displayFolder="" count="2" memberValueDatatype="130" unbalanced="0"/>
    <cacheHierarchy uniqueName="[Emp_Info].[DOB]" caption="DOB" attribute="1" time="1" defaultMemberUniqueName="[Emp_Info].[DOB].[All]" allUniqueName="[Emp_Info].[DOB].[All]" dimensionUniqueName="[Emp_Info]" displayFolder="" count="2"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2"/>
      </fieldsUsage>
    </cacheHierarchy>
    <cacheHierarchy uniqueName="[Emp_Info].[DoJ]" caption="DoJ" attribute="1" time="1" defaultMemberUniqueName="[Emp_Info].[DoJ].[All]" allUniqueName="[Emp_Info].[DoJ].[All]" dimensionUniqueName="[Emp_Info]" displayFolder="" count="2" memberValueDatatype="7" unbalanced="0"/>
    <cacheHierarchy uniqueName="[Emp_Info].[no_of_projects]" caption="no_of_projects" attribute="1" defaultMemberUniqueName="[Emp_Info].[no_of_projects].[All]" allUniqueName="[Emp_Info].[no_of_projects].[All]" dimensionUniqueName="[Emp_Info]" displayFolder="" count="2"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2" memberValueDatatype="130" unbalanced="0"/>
    <cacheHierarchy uniqueName="[Emp_Info].[Left?]" caption="Left?" attribute="1" defaultMemberUniqueName="[Emp_Info].[Left?].[All]" allUniqueName="[Emp_Info].[Left?].[All]" dimensionUniqueName="[Emp_Info]" displayFolder="" count="2" memberValueDatatype="20" unbalanced="0">
      <fieldsUsage count="2">
        <fieldUsage x="-1"/>
        <fieldUsage x="0"/>
      </fieldsUsage>
    </cacheHierarchy>
    <cacheHierarchy uniqueName="[Emp_Info].[LastDate]" caption="LastDate" attribute="1" time="1" defaultMemberUniqueName="[Emp_Info].[LastDate].[All]" allUniqueName="[Emp_Info].[LastDate].[All]" dimensionUniqueName="[Emp_Info]" displayFolder="" count="2" memberValueDatatype="7" unbalanced="0"/>
    <cacheHierarchy uniqueName="[Emp_Info].[Salary]" caption="Salary" attribute="1" defaultMemberUniqueName="[Emp_Info].[Salary].[All]" allUniqueName="[Emp_Info].[Salary].[All]" dimensionUniqueName="[Emp_Info]" displayFolder="" count="2" memberValueDatatype="20" unbalanced="0"/>
    <cacheHierarchy uniqueName="[Emp_Info].[Dept_Id]" caption="Dept_Id" attribute="1" defaultMemberUniqueName="[Emp_Info].[Dept_Id].[All]" allUniqueName="[Emp_Info].[Dept_Id].[All]" dimensionUniqueName="[Emp_Info]" displayFolder="" count="2" memberValueDatatype="130" unbalanced="0"/>
    <cacheHierarchy uniqueName="[Emp_Info].[Title]" caption="Title" attribute="1" defaultMemberUniqueName="[Emp_Info].[Title].[All]" allUniqueName="[Emp_Info].[Title].[All]" dimensionUniqueName="[Emp_Info]" displayFolder="" count="2" memberValueDatatype="130" unbalanced="0"/>
    <cacheHierarchy uniqueName="[Emp_Info].[Duration]" caption="Duration" attribute="1" defaultMemberUniqueName="[Emp_Info].[Duration].[All]" allUniqueName="[Emp_Info].[Duration].[All]" dimensionUniqueName="[Emp_Info]" displayFolder="" count="2" memberValueDatatype="20" unbalanced="0"/>
    <cacheHierarchy uniqueName="[Emp_Info].[Ratings]" caption="Ratings" attribute="1" defaultMemberUniqueName="[Emp_Info].[Ratings].[All]" allUniqueName="[Emp_Info].[Ratings].[All]" dimensionUniqueName="[Emp_Info]" displayFolder="" count="2" memberValueDatatype="5" unbalanced="0"/>
    <cacheHierarchy uniqueName="[Emp_Info].[DoJ (Year)]" caption="DoJ (Year)" attribute="1" defaultMemberUniqueName="[Emp_Info].[DoJ (Year)].[All]" allUniqueName="[Emp_Info].[DoJ (Year)].[All]" dimensionUniqueName="[Emp_Info]" displayFolder="" count="2" memberValueDatatype="130" unbalanced="0"/>
    <cacheHierarchy uniqueName="[Emp_Info].[DoJ (Quarter)]" caption="DoJ (Quarter)" attribute="1" defaultMemberUniqueName="[Emp_Info].[DoJ (Quarter)].[All]" allUniqueName="[Emp_Info].[DoJ (Quarter)].[All]" dimensionUniqueName="[Emp_Info]" displayFolder="" count="2" memberValueDatatype="130" unbalanced="0"/>
    <cacheHierarchy uniqueName="[Emp_Info].[DoJ (Month)]" caption="DoJ (Month)" attribute="1" defaultMemberUniqueName="[Emp_Info].[DoJ (Month)].[All]" allUniqueName="[Emp_Info].[DoJ (Month)].[All]" dimensionUniqueName="[Emp_Info]" displayFolder="" count="2" memberValueDatatype="130" unbalanced="0"/>
    <cacheHierarchy uniqueName="[Emp_Info].[DoJ (Month Index)]" caption="DoJ (Month Index)" attribute="1" defaultMemberUniqueName="[Emp_Info].[DoJ (Month Index)].[All]" allUniqueName="[Emp_Info].[DoJ (Month Index)].[All]" dimensionUniqueName="[Emp_Info]" displayFolder="" count="2"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2754632" backgroundQuery="1" createdVersion="8" refreshedVersion="8" minRefreshableVersion="3" recordCount="0" supportSubquery="1" supportAdvancedDrill="1" xr:uid="{5879520A-B6DA-40A5-A3DC-8F400D6A054E}">
  <cacheSource type="external" connectionId="3"/>
  <cacheFields count="3">
    <cacheField name="[Measures].[Average of Duration]" caption="Average of Duration" numFmtId="0" hierarchy="25" level="32767"/>
    <cacheField name="[Emp_Info].[Left?].[Left?]" caption="Left?" numFmtId="0" hierarchy="9" level="1">
      <sharedItems containsSemiMixedTypes="0" containsNonDate="0" containsString="0"/>
    </cacheField>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0" memberValueDatatype="130" unbalanced="0"/>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2"/>
      </fieldsUsage>
    </cacheHierarchy>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2" memberValueDatatype="20" unbalanced="0">
      <fieldsUsage count="2">
        <fieldUsage x="-1"/>
        <fieldUsage x="1"/>
      </fieldsUsage>
    </cacheHierarchy>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hidden="1">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3333333" backgroundQuery="1" createdVersion="8" refreshedVersion="8" minRefreshableVersion="3" recordCount="0" supportSubquery="1" supportAdvancedDrill="1" xr:uid="{8E52DC18-0566-404E-923B-A99577D688C6}">
  <cacheSource type="external" connectionId="3"/>
  <cacheFields count="3">
    <cacheField name="[Emp_Info].[no_of_projects].[no_of_projects]" caption="no_of_projects" numFmtId="0" hierarchy="7"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Emp_Info].[no_of_projects].&amp;[1]"/>
            <x15:cachedUniqueName index="1" name="[Emp_Info].[no_of_projects].&amp;[2]"/>
            <x15:cachedUniqueName index="2" name="[Emp_Info].[no_of_projects].&amp;[3]"/>
            <x15:cachedUniqueName index="3" name="[Emp_Info].[no_of_projects].&amp;[4]"/>
            <x15:cachedUniqueName index="4" name="[Emp_Info].[no_of_projects].&amp;[5]"/>
            <x15:cachedUniqueName index="5" name="[Emp_Info].[no_of_projects].&amp;[6]"/>
            <x15:cachedUniqueName index="6" name="[Emp_Info].[no_of_projects].&amp;[7]"/>
            <x15:cachedUniqueName index="7" name="[Emp_Info].[no_of_projects].&amp;[8]"/>
            <x15:cachedUniqueName index="8" name="[Emp_Info].[no_of_projects].&amp;[9]"/>
            <x15:cachedUniqueName index="9" name="[Emp_Info].[no_of_projects].&amp;[10]"/>
          </x15:cachedUniqueNames>
        </ext>
      </extLst>
    </cacheField>
    <cacheField name="[Measures].[Average of Ratings]" caption="Average of Ratings" numFmtId="0" hierarchy="27" level="32767"/>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0" memberValueDatatype="130" unbalanced="0"/>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2"/>
      </fieldsUsage>
    </cacheHierarchy>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2" memberValueDatatype="20" unbalanced="0">
      <fieldsUsage count="2">
        <fieldUsage x="-1"/>
        <fieldUsage x="0"/>
      </fieldsUsage>
    </cacheHierarchy>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hidden="1">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4027779" backgroundQuery="1" createdVersion="8" refreshedVersion="8" minRefreshableVersion="3" recordCount="0" supportSubquery="1" supportAdvancedDrill="1" xr:uid="{FEFFF004-288C-4B27-8143-3826B057CB3D}">
  <cacheSource type="external" connectionId="3"/>
  <cacheFields count="4">
    <cacheField name="[Dep_Info].[Dep_Name].[Dep_Name]" caption="Dep_Name" numFmtId="0" level="1">
      <sharedItems count="9">
        <s v="Customer Service"/>
        <s v="Development"/>
        <s v="Finance"/>
        <s v="Human Resources"/>
        <s v="Marketing"/>
        <s v="Production"/>
        <s v="Quality Management"/>
        <s v="Research"/>
        <s v="Sales"/>
      </sharedItems>
    </cacheField>
    <cacheField name="[Emp_Info].[Last_performance_rating].[Last_performance_rating]" caption="Last_performance_rating" numFmtId="0" hierarchy="8" level="1">
      <sharedItems containsSemiMixedTypes="0" containsNonDate="0" containsString="0"/>
    </cacheField>
    <cacheField name="[Measures].[Count of Emp_Names]" caption="Count of Emp_Names" numFmtId="0" hierarchy="23" level="32767"/>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2" memberValueDatatype="130" unbalanced="0">
      <fieldsUsage count="2">
        <fieldUsage x="-1"/>
        <fieldUsage x="0"/>
      </fieldsUsage>
    </cacheHierarchy>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3"/>
      </fieldsUsage>
    </cacheHierarchy>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2" memberValueDatatype="130" unbalanced="0">
      <fieldsUsage count="2">
        <fieldUsage x="-1"/>
        <fieldUsage x="1"/>
      </fieldsUsage>
    </cacheHierarchy>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460648" backgroundQuery="1" createdVersion="8" refreshedVersion="8" minRefreshableVersion="3" recordCount="0" supportSubquery="1" supportAdvancedDrill="1" xr:uid="{F19F785B-56DA-4972-8647-66C32F03C263}">
  <cacheSource type="external" connectionId="3"/>
  <cacheFields count="3">
    <cacheField name="[Dep_Info].[Dep_Name].[Dep_Name]" caption="Dep_Name" numFmtId="0" level="1">
      <sharedItems count="9">
        <s v="Customer Service"/>
        <s v="Development"/>
        <s v="Finance"/>
        <s v="Human Resources"/>
        <s v="Marketing"/>
        <s v="Production"/>
        <s v="Quality Management"/>
        <s v="Research"/>
        <s v="Sales"/>
      </sharedItems>
    </cacheField>
    <cacheField name="[Measures].[Average of Salary]" caption="Average of Salary" numFmtId="0" hierarchy="29" level="32767"/>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2" memberValueDatatype="130" unbalanced="0">
      <fieldsUsage count="2">
        <fieldUsage x="-1"/>
        <fieldUsage x="0"/>
      </fieldsUsage>
    </cacheHierarchy>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2"/>
      </fieldsUsage>
    </cacheHierarchy>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hidden="1">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5300926" backgroundQuery="1" createdVersion="8" refreshedVersion="8" minRefreshableVersion="3" recordCount="0" supportSubquery="1" supportAdvancedDrill="1" xr:uid="{0FDC4DCB-0BF6-4DBA-AB3B-18090F2CA8DA}">
  <cacheSource type="external" connectionId="3"/>
  <cacheFields count="2">
    <cacheField name="[Emp_Info].[Gender].[Gender]" caption="Gender" numFmtId="0" hierarchy="5" level="1">
      <sharedItems count="2">
        <s v="F"/>
        <s v="M"/>
      </sharedItems>
    </cacheField>
    <cacheField name="[Measures].[Average of Salary]" caption="Average of Salary" numFmtId="0" hierarchy="29" level="32767"/>
  </cacheFields>
  <cacheHierarchies count="30">
    <cacheHierarchy uniqueName="[Dep_Info].[Dep_Name]" caption="Dep_Name" attribute="1" defaultMemberUniqueName="[Dep_Info].[Dep_Name].[All]" allUniqueName="[Dep_Info].[Dep_Name].[All]" dimensionUniqueName="[Dep_Info]" displayFolder="" count="0" memberValueDatatype="130" unbalanced="0"/>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0"/>
      </fieldsUsage>
    </cacheHierarchy>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hidden="1">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6111111" backgroundQuery="1" createdVersion="8" refreshedVersion="8" minRefreshableVersion="3" recordCount="0" supportSubquery="1" supportAdvancedDrill="1" xr:uid="{9AD98C71-2F60-44E4-BFDB-74B592F5FCFF}">
  <cacheSource type="external" connectionId="3"/>
  <cacheFields count="3">
    <cacheField name="[Emp_Info].[DoJ (Year)].[DoJ (Year)]" caption="DoJ (Year)" numFmtId="0" hierarchy="16" level="1">
      <sharedItems count="15">
        <s v="1985"/>
        <s v="1986"/>
        <s v="1987"/>
        <s v="1988"/>
        <s v="1989"/>
        <s v="1990"/>
        <s v="1991"/>
        <s v="1992"/>
        <s v="1993"/>
        <s v="1994"/>
        <s v="1995"/>
        <s v="1996"/>
        <s v="1997"/>
        <s v="1998"/>
        <s v="1999"/>
      </sharedItems>
    </cacheField>
    <cacheField name="[Measures].[Count of Emp_Names]" caption="Count of Emp_Names" numFmtId="0" hierarchy="23" level="32767"/>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0" memberValueDatatype="130" unbalanced="0"/>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2"/>
      </fieldsUsage>
    </cacheHierarchy>
    <cacheHierarchy uniqueName="[Emp_Info].[DoJ]" caption="DoJ" attribute="1" time="1" defaultMemberUniqueName="[Emp_Info].[DoJ].[All]" allUniqueName="[Emp_Info].[DoJ].[All]" dimensionUniqueName="[Emp_Info]" displayFolder="" count="2"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2" memberValueDatatype="130" unbalanced="0">
      <fieldsUsage count="2">
        <fieldUsage x="-1"/>
        <fieldUsage x="0"/>
      </fieldsUsage>
    </cacheHierarchy>
    <cacheHierarchy uniqueName="[Emp_Info].[DoJ (Quarter)]" caption="DoJ (Quarter)" attribute="1" defaultMemberUniqueName="[Emp_Info].[DoJ (Quarter)].[All]" allUniqueName="[Emp_Info].[DoJ (Quarter)].[All]" dimensionUniqueName="[Emp_Info]" displayFolder="" count="2" memberValueDatatype="130" unbalanced="0"/>
    <cacheHierarchy uniqueName="[Emp_Info].[DoJ (Month)]" caption="DoJ (Month)" attribute="1" defaultMemberUniqueName="[Emp_Info].[DoJ (Month)].[All]" allUniqueName="[Emp_Info].[DoJ (Month)].[All]" dimensionUniqueName="[Emp_Info]" displayFolder="" count="2"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2236574073" backgroundQuery="1" createdVersion="8" refreshedVersion="8" minRefreshableVersion="3" recordCount="0" supportSubquery="1" supportAdvancedDrill="1" xr:uid="{62463B09-EDFA-4220-84BD-16F0A816D172}">
  <cacheSource type="external" connectionId="3"/>
  <cacheFields count="4">
    <cacheField name="[Dep_Info].[Dep_Name].[Dep_Name]" caption="Dep_Name" numFmtId="0" level="1">
      <sharedItems count="6">
        <s v="Customer Service"/>
        <s v="Development"/>
        <s v="Human Resources"/>
        <s v="Production"/>
        <s v="Quality Management"/>
        <s v="Research"/>
      </sharedItems>
    </cacheField>
    <cacheField name="[Measures].[Count of Emp_Names]" caption="Count of Emp_Names" numFmtId="0" hierarchy="23" level="32767"/>
    <cacheField name="[Emp_Info].[DoJ (Year)].[DoJ (Year)]" caption="DoJ (Year)" numFmtId="0" hierarchy="16" level="1">
      <sharedItems count="2">
        <s v="1998"/>
        <s v="1999"/>
      </sharedItems>
    </cacheField>
    <cacheField name="[Emp_Info].[Gender].[Gender]" caption="Gender" numFmtId="0" hierarchy="5" level="1">
      <sharedItems containsSemiMixedTypes="0" containsNonDate="0" containsString="0"/>
    </cacheField>
  </cacheFields>
  <cacheHierarchies count="30">
    <cacheHierarchy uniqueName="[Dep_Info].[Dep_Name]" caption="Dep_Name" attribute="1" defaultMemberUniqueName="[Dep_Info].[Dep_Name].[All]" allUniqueName="[Dep_Info].[Dep_Name].[All]" dimensionUniqueName="[Dep_Info]" displayFolder="" count="2" memberValueDatatype="130" unbalanced="0">
      <fieldsUsage count="2">
        <fieldUsage x="-1"/>
        <fieldUsage x="0"/>
      </fieldsUsage>
    </cacheHierarchy>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fieldsUsage count="2">
        <fieldUsage x="-1"/>
        <fieldUsage x="3"/>
      </fieldsUsage>
    </cacheHierarchy>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2" memberValueDatatype="130" unbalanced="0">
      <fieldsUsage count="2">
        <fieldUsage x="-1"/>
        <fieldUsage x="2"/>
      </fieldsUsage>
    </cacheHierarchy>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dimensions count="3">
    <dimension name="Dep_Info" uniqueName="[Dep_Info]" caption="Dep_Info"/>
    <dimension name="Emp_Info" uniqueName="[Emp_Info]" caption="Emp_Info"/>
    <dimension measure="1" name="Measures" uniqueName="[Measures]" caption="Measures"/>
  </dimensions>
  <measureGroups count="2">
    <measureGroup name="Dep_Info" caption="Dep_Info"/>
    <measureGroup name="Emp_Info" caption="Emp_Info"/>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499527430555" backgroundQuery="1" createdVersion="3" refreshedVersion="8" minRefreshableVersion="3" recordCount="0" supportSubquery="1" supportAdvancedDrill="1" xr:uid="{BD9A11F5-881D-41E9-8939-ABB4E7E4B7A2}">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ep_Info].[Dep_Name]" caption="Dep_Name" attribute="1" defaultMemberUniqueName="[Dep_Info].[Dep_Name].[All]" allUniqueName="[Dep_Info].[Dep_Name].[All]" dimensionUniqueName="[Dep_Info]" displayFolder="" count="2" memberValueDatatype="130" unbalanced="0"/>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2" memberValueDatatype="130" unbalanced="0"/>
    <cacheHierarchy uniqueName="[Emp_Info].[DoJ]" caption="DoJ" attribute="1" time="1" defaultMemberUniqueName="[Emp_Info].[DoJ].[All]" allUniqueName="[Emp_Info].[DoJ].[All]" dimensionUniqueName="[Emp_Info]" displayFolder="" count="0"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2" memberValueDatatype="130" unbalanced="0"/>
    <cacheHierarchy uniqueName="[Emp_Info].[Left?]" caption="Left?" attribute="1" defaultMemberUniqueName="[Emp_Info].[Left?].[All]" allUniqueName="[Emp_Info].[Left?].[All]" dimensionUniqueName="[Emp_Info]" displayFolder="" count="2"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2"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hidden="1">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28073122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hak ." refreshedDate="46006.500167245373" backgroundQuery="1" createdVersion="3" refreshedVersion="8" minRefreshableVersion="3" recordCount="0" supportSubquery="1" supportAdvancedDrill="1" xr:uid="{F9C0D76E-17C6-4304-87C9-EA328C3C7BAE}">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ep_Info].[Dep_Name]" caption="Dep_Name" attribute="1" defaultMemberUniqueName="[Dep_Info].[Dep_Name].[All]" allUniqueName="[Dep_Info].[Dep_Name].[All]" dimensionUniqueName="[Dep_Info]" displayFolder="" count="0" memberValueDatatype="130" unbalanced="0"/>
    <cacheHierarchy uniqueName="[Dep_Info].[Dept_Id]" caption="Dept_Id" attribute="1" defaultMemberUniqueName="[Dep_Info].[Dept_Id].[All]" allUniqueName="[Dep_Info].[Dept_Id].[All]" dimensionUniqueName="[Dep_Info]" displayFolder="" count="0" memberValueDatatype="130" unbalanced="0"/>
    <cacheHierarchy uniqueName="[Emp_Info].[Emp_Id]" caption="Emp_Id" attribute="1" defaultMemberUniqueName="[Emp_Info].[Emp_Id].[All]" allUniqueName="[Emp_Info].[Emp_Id].[All]" dimensionUniqueName="[Emp_Info]" displayFolder="" count="0" memberValueDatatype="20" unbalanced="0"/>
    <cacheHierarchy uniqueName="[Emp_Info].[Emp_Names]" caption="Emp_Names" attribute="1" defaultMemberUniqueName="[Emp_Info].[Emp_Names].[All]" allUniqueName="[Emp_Info].[Emp_Names].[All]" dimensionUniqueName="[Emp_Info]" displayFolder="" count="0" memberValueDatatype="130" unbalanced="0"/>
    <cacheHierarchy uniqueName="[Emp_Info].[DOB]" caption="DOB" attribute="1" time="1" defaultMemberUniqueName="[Emp_Info].[DOB].[All]" allUniqueName="[Emp_Info].[DOB].[All]" dimensionUniqueName="[Emp_Info]" displayFolder="" count="0" memberValueDatatype="7" unbalanced="0"/>
    <cacheHierarchy uniqueName="[Emp_Info].[Gender]" caption="Gender" attribute="1" defaultMemberUniqueName="[Emp_Info].[Gender].[All]" allUniqueName="[Emp_Info].[Gender].[All]" dimensionUniqueName="[Emp_Info]" displayFolder="" count="0" memberValueDatatype="130" unbalanced="0"/>
    <cacheHierarchy uniqueName="[Emp_Info].[DoJ]" caption="DoJ" attribute="1" time="1" defaultMemberUniqueName="[Emp_Info].[DoJ].[All]" allUniqueName="[Emp_Info].[DoJ].[All]" dimensionUniqueName="[Emp_Info]" displayFolder="" count="2" memberValueDatatype="7" unbalanced="0"/>
    <cacheHierarchy uniqueName="[Emp_Info].[no_of_projects]" caption="no_of_projects" attribute="1" defaultMemberUniqueName="[Emp_Info].[no_of_projects].[All]" allUniqueName="[Emp_Info].[no_of_projects].[All]" dimensionUniqueName="[Emp_Info]" displayFolder="" count="0" memberValueDatatype="20" unbalanced="0"/>
    <cacheHierarchy uniqueName="[Emp_Info].[Last_performance_rating]" caption="Last_performance_rating" attribute="1" defaultMemberUniqueName="[Emp_Info].[Last_performance_rating].[All]" allUniqueName="[Emp_Info].[Last_performance_rating].[All]" dimensionUniqueName="[Emp_Info]" displayFolder="" count="0" memberValueDatatype="130" unbalanced="0"/>
    <cacheHierarchy uniqueName="[Emp_Info].[Left?]" caption="Left?" attribute="1" defaultMemberUniqueName="[Emp_Info].[Left?].[All]" allUniqueName="[Emp_Info].[Left?].[All]" dimensionUniqueName="[Emp_Info]" displayFolder="" count="0" memberValueDatatype="20" unbalanced="0"/>
    <cacheHierarchy uniqueName="[Emp_Info].[LastDate]" caption="LastDate" attribute="1" time="1" defaultMemberUniqueName="[Emp_Info].[LastDate].[All]" allUniqueName="[Emp_Info].[LastDate].[All]" dimensionUniqueName="[Emp_Info]" displayFolder="" count="0" memberValueDatatype="7" unbalanced="0"/>
    <cacheHierarchy uniqueName="[Emp_Info].[Salary]" caption="Salary" attribute="1" defaultMemberUniqueName="[Emp_Info].[Salary].[All]" allUniqueName="[Emp_Info].[Salary].[All]" dimensionUniqueName="[Emp_Info]" displayFolder="" count="0" memberValueDatatype="20" unbalanced="0"/>
    <cacheHierarchy uniqueName="[Emp_Info].[Dept_Id]" caption="Dept_Id" attribute="1" defaultMemberUniqueName="[Emp_Info].[Dept_Id].[All]" allUniqueName="[Emp_Info].[Dept_Id].[All]" dimensionUniqueName="[Emp_Info]" displayFolder="" count="0" memberValueDatatype="130" unbalanced="0"/>
    <cacheHierarchy uniqueName="[Emp_Info].[Title]" caption="Title" attribute="1" defaultMemberUniqueName="[Emp_Info].[Title].[All]" allUniqueName="[Emp_Info].[Title].[All]" dimensionUniqueName="[Emp_Info]" displayFolder="" count="0" memberValueDatatype="130" unbalanced="0"/>
    <cacheHierarchy uniqueName="[Emp_Info].[Duration]" caption="Duration" attribute="1" defaultMemberUniqueName="[Emp_Info].[Duration].[All]" allUniqueName="[Emp_Info].[Duration].[All]" dimensionUniqueName="[Emp_Info]" displayFolder="" count="0" memberValueDatatype="20" unbalanced="0"/>
    <cacheHierarchy uniqueName="[Emp_Info].[Ratings]" caption="Ratings" attribute="1" defaultMemberUniqueName="[Emp_Info].[Ratings].[All]" allUniqueName="[Emp_Info].[Ratings].[All]" dimensionUniqueName="[Emp_Info]" displayFolder="" count="0" memberValueDatatype="5" unbalanced="0"/>
    <cacheHierarchy uniqueName="[Emp_Info].[DoJ (Year)]" caption="DoJ (Year)" attribute="1" defaultMemberUniqueName="[Emp_Info].[DoJ (Year)].[All]" allUniqueName="[Emp_Info].[DoJ (Year)].[All]" dimensionUniqueName="[Emp_Info]" displayFolder="" count="0" memberValueDatatype="130" unbalanced="0"/>
    <cacheHierarchy uniqueName="[Emp_Info].[DoJ (Quarter)]" caption="DoJ (Quarter)" attribute="1" defaultMemberUniqueName="[Emp_Info].[DoJ (Quarter)].[All]" allUniqueName="[Emp_Info].[DoJ (Quarter)].[All]" dimensionUniqueName="[Emp_Info]" displayFolder="" count="0" memberValueDatatype="130" unbalanced="0"/>
    <cacheHierarchy uniqueName="[Emp_Info].[DoJ (Month)]" caption="DoJ (Month)" attribute="1" defaultMemberUniqueName="[Emp_Info].[DoJ (Month)].[All]" allUniqueName="[Emp_Info].[DoJ (Month)].[All]" dimensionUniqueName="[Emp_Info]" displayFolder="" count="0" memberValueDatatype="130" unbalanced="0"/>
    <cacheHierarchy uniqueName="[Emp_Info].[DoJ (Month Index)]" caption="DoJ (Month Index)" attribute="1" defaultMemberUniqueName="[Emp_Info].[DoJ (Month Index)].[All]" allUniqueName="[Emp_Info].[DoJ (Month Index)].[All]" dimensionUniqueName="[Emp_Info]" displayFolder="" count="0" memberValueDatatype="20" unbalanced="0" hidden="1"/>
    <cacheHierarchy uniqueName="[Measures].[__XL_Count Dep_Info]" caption="__XL_Count Dep_Info" measure="1" displayFolder="" measureGroup="Dep_Info" count="0" hidden="1"/>
    <cacheHierarchy uniqueName="[Measures].[__XL_Count Emp_Info]" caption="__XL_Count Emp_Info" measure="1" displayFolder="" measureGroup="Emp_Info" count="0" hidden="1"/>
    <cacheHierarchy uniqueName="[Measures].[__No measures defined]" caption="__No measures defined" measure="1" displayFolder="" count="0" hidden="1"/>
    <cacheHierarchy uniqueName="[Measures].[Count of Emp_Names]" caption="Count of Emp_Names" measure="1" displayFolder="" measureGroup="Emp_Info" count="0" hidden="1">
      <extLst>
        <ext xmlns:x15="http://schemas.microsoft.com/office/spreadsheetml/2010/11/main" uri="{B97F6D7D-B522-45F9-BDA1-12C45D357490}">
          <x15:cacheHierarchy aggregatedColumn="3"/>
        </ext>
      </extLst>
    </cacheHierarchy>
    <cacheHierarchy uniqueName="[Measures].[Sum of Duration]" caption="Sum of Duration" measure="1" displayFolder="" measureGroup="Emp_Info" count="0" hidden="1">
      <extLst>
        <ext xmlns:x15="http://schemas.microsoft.com/office/spreadsheetml/2010/11/main" uri="{B97F6D7D-B522-45F9-BDA1-12C45D357490}">
          <x15:cacheHierarchy aggregatedColumn="14"/>
        </ext>
      </extLst>
    </cacheHierarchy>
    <cacheHierarchy uniqueName="[Measures].[Average of Duration]" caption="Average of Duration" measure="1" displayFolder="" measureGroup="Emp_Info" count="0" hidden="1">
      <extLst>
        <ext xmlns:x15="http://schemas.microsoft.com/office/spreadsheetml/2010/11/main" uri="{B97F6D7D-B522-45F9-BDA1-12C45D357490}">
          <x15:cacheHierarchy aggregatedColumn="14"/>
        </ext>
      </extLst>
    </cacheHierarchy>
    <cacheHierarchy uniqueName="[Measures].[Sum of Ratings]" caption="Sum of Ratings" measure="1" displayFolder="" measureGroup="Emp_Info" count="0" hidden="1">
      <extLst>
        <ext xmlns:x15="http://schemas.microsoft.com/office/spreadsheetml/2010/11/main" uri="{B97F6D7D-B522-45F9-BDA1-12C45D357490}">
          <x15:cacheHierarchy aggregatedColumn="15"/>
        </ext>
      </extLst>
    </cacheHierarchy>
    <cacheHierarchy uniqueName="[Measures].[Average of Ratings]" caption="Average of Ratings" measure="1" displayFolder="" measureGroup="Emp_Info" count="0" hidden="1">
      <extLst>
        <ext xmlns:x15="http://schemas.microsoft.com/office/spreadsheetml/2010/11/main" uri="{B97F6D7D-B522-45F9-BDA1-12C45D357490}">
          <x15:cacheHierarchy aggregatedColumn="15"/>
        </ext>
      </extLst>
    </cacheHierarchy>
    <cacheHierarchy uniqueName="[Measures].[Sum of Salary]" caption="Sum of Salary" measure="1" displayFolder="" measureGroup="Emp_Info" count="0" hidden="1">
      <extLst>
        <ext xmlns:x15="http://schemas.microsoft.com/office/spreadsheetml/2010/11/main" uri="{B97F6D7D-B522-45F9-BDA1-12C45D357490}">
          <x15:cacheHierarchy aggregatedColumn="11"/>
        </ext>
      </extLst>
    </cacheHierarchy>
    <cacheHierarchy uniqueName="[Measures].[Average of Salary]" caption="Average of Salary" measure="1" displayFolder="" measureGroup="Emp_Info"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511598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3EA83-2F69-4972-BDFA-D945D7EA7AC8}" name="PivotTable9" cacheId="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ments">
  <location ref="H60:I67" firstHeaderRow="1" firstDataRow="1" firstDataCol="1" rowPageCount="1" colPageCount="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Page"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0"/>
  </rowFields>
  <rowItems count="7">
    <i>
      <x/>
    </i>
    <i>
      <x v="1"/>
    </i>
    <i>
      <x v="2"/>
    </i>
    <i>
      <x v="3"/>
    </i>
    <i>
      <x v="4"/>
    </i>
    <i>
      <x v="5"/>
    </i>
    <i t="grand">
      <x/>
    </i>
  </rowItems>
  <colItems count="1">
    <i/>
  </colItems>
  <pageFields count="1">
    <pageField fld="2" hier="16" name="[Emp_Info].[DoJ (Year)].[All]" cap="All"/>
  </pageFields>
  <dataFields count="1">
    <dataField name="Emp Joined" fld="1" subtotal="count"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Emp Join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_Info]"/>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975BE1-2433-4C07-93C7-63F84E288781}" name="PivotTable8"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ining Years">
  <location ref="C57:D73" firstHeaderRow="1" firstDataRow="1" firstDataCol="1"/>
  <pivotFields count="3">
    <pivotField axis="axisRow" allDrilled="1" subtotalTop="0" showAll="0" dataSourceSort="1" defaultSubtotal="0">
      <items count="15">
        <item x="0" e="0"/>
        <item x="1" e="0"/>
        <item x="2" e="0"/>
        <item x="3" e="0"/>
        <item x="4" e="0"/>
        <item x="5" e="0"/>
        <item x="6" e="0"/>
        <item x="7" e="0"/>
        <item x="8" e="0"/>
        <item x="9" e="0"/>
        <item x="10" e="0"/>
        <item x="11" e="0"/>
        <item x="12" e="0"/>
        <item x="13" e="0"/>
        <item x="14" e="0"/>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Emp_Count" fld="1" subtotal="count"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Emp_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D085F0-3433-47FC-8BD4-9B63F4836C40}" name="PivotTable7" cacheId="3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renders">
  <location ref="I42:J4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g. Salary" fld="1" subtotal="average" baseField="0" baseItem="0" numFmtId="166"/>
  </dataFields>
  <formats count="1">
    <format dxfId="22">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 Salary"/>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7557B1-22A0-4B10-9060-8224F7C3F00C}" name="PivotTable6" cacheId="3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partments">
  <location ref="C42:D52"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g. Salary" fld="1" subtotal="average" baseField="0" baseItem="0" numFmtId="166"/>
  </dataFields>
  <formats count="1">
    <format dxfId="23">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g. Salary"/>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_Info]"/>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35E56E-042E-4BFB-9EC5-69ADCCBEBB43}" name="PivotTable5" cacheId="3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s">
  <location ref="L24:M34" firstHeaderRow="1" firstDataRow="1" firstDataCol="1" rowPageCount="1" colPageCount="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v="5"/>
    </i>
    <i>
      <x v="1"/>
    </i>
    <i>
      <x v="8"/>
    </i>
    <i>
      <x v="7"/>
    </i>
    <i>
      <x/>
    </i>
    <i>
      <x v="2"/>
    </i>
    <i>
      <x v="4"/>
    </i>
    <i>
      <x v="3"/>
    </i>
    <i>
      <x v="6"/>
    </i>
    <i t="grand">
      <x/>
    </i>
  </rowItems>
  <colItems count="1">
    <i/>
  </colItems>
  <pageFields count="1">
    <pageField fld="1" hier="8" name="[Emp_Info].[Last_performance_rating].&amp;[A]" cap="A"/>
  </pageFields>
  <dataFields count="1">
    <dataField name="Top Performers" fld="2"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Emp_Info].[Last_performance_rating].&amp;[A]"/>
        <member name="[Emp_Info].[Last_performance_rating].&am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p Perform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_Info]"/>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0A17AD-6BDF-4FE4-A812-9FDED8A36E77}" name="PivotTable4" cacheId="3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jects done">
  <location ref="C22:D33"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g. Ratings" fld="1" subtotal="average" baseField="0" baseItem="0"/>
  </dataFields>
  <formats count="1">
    <format dxfId="24">
      <pivotArea collapsedLevelsAreSubtotals="1" fieldPosition="0">
        <references count="1">
          <reference field="0" count="0"/>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Ratings"/>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AAB891-3F93-48C3-B9F4-62A1343881ED}" name="PivotTable2" cacheId="3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5:J16"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9" name="[Emp_Info].[Left?].&amp;[1]" cap="1"/>
  </pageFields>
  <dataFields count="1">
    <dataField name="Avg. Tenure" fld="0" subtotal="average" baseField="0" baseItem="0" numFmtId="2"/>
  </dataFields>
  <formats count="1">
    <format dxfId="25">
      <pivotArea outline="0" collapsedLevelsAreSubtotals="1" fieldPosition="0"/>
    </format>
  </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Tenu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A3C4F8-25F5-4A6A-B67A-8C36E3ACBDA2}" name="PivotTable1" cacheId="34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rowHeaderCaption="Left the Org?">
  <location ref="C13:D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Emp_Count" fld="1" subtotal="count"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Emp_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_Info]"/>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C6176E-D6AC-4AA4-B7B2-E6A185FF2825}" sourceName="[Emp_Info].[Gender]">
  <pivotTables>
    <pivotTable tabId="5" name="PivotTable1"/>
    <pivotTable tabId="5" name="PivotTable2"/>
    <pivotTable tabId="5" name="PivotTable4"/>
    <pivotTable tabId="5" name="PivotTable5"/>
    <pivotTable tabId="5" name="PivotTable6"/>
    <pivotTable tabId="5" name="PivotTable7"/>
    <pivotTable tabId="5" name="PivotTable8"/>
    <pivotTable tabId="5" name="PivotTable9"/>
  </pivotTables>
  <data>
    <olap pivotCacheId="280731229">
      <levels count="2">
        <level uniqueName="[Emp_Info].[Gender].[(All)]" sourceCaption="(All)" count="0"/>
        <level uniqueName="[Emp_Info].[Gender].[Gender]" sourceCaption="Gender" count="2">
          <ranges>
            <range startItem="0">
              <i n="[Emp_Info].[Gender].&amp;[F]" c="F"/>
              <i n="[Emp_Info].[Gender].&amp;[M]" c="M"/>
            </range>
          </ranges>
        </level>
      </levels>
      <selections count="1">
        <selection n="[Emp_Info].[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ft?" xr10:uid="{D7D87D3B-CE60-4A42-AA14-AEBB6000AE5E}" sourceName="[Emp_Info].[Left?]">
  <pivotTables>
    <pivotTable tabId="5" name="PivotTable1"/>
  </pivotTables>
  <data>
    <olap pivotCacheId="280731229">
      <levels count="2">
        <level uniqueName="[Emp_Info].[Left?].[(All)]" sourceCaption="(All)" count="0"/>
        <level uniqueName="[Emp_Info].[Left?].[Left?]" sourceCaption="Left?" count="2">
          <ranges>
            <range startItem="0">
              <i n="[Emp_Info].[Left?].&amp;[0]" c="0"/>
              <i n="[Emp_Info].[Left?].&amp;[1]" c="1"/>
            </range>
          </ranges>
        </level>
      </levels>
      <selections count="1">
        <selection n="[Emp_Info].[Lef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performance_rating" xr10:uid="{6BC9A9C9-8204-496D-9B79-BB45217A10FC}" sourceName="[Emp_Info].[Last_performance_rating]">
  <pivotTables>
    <pivotTable tabId="5" name="PivotTable1"/>
  </pivotTables>
  <data>
    <olap pivotCacheId="280731229">
      <levels count="2">
        <level uniqueName="[Emp_Info].[Last_performance_rating].[(All)]" sourceCaption="(All)" count="0"/>
        <level uniqueName="[Emp_Info].[Last_performance_rating].[Last_performance_rating]" sourceCaption="Last_performance_rating" count="5">
          <ranges>
            <range startItem="0">
              <i n="[Emp_Info].[Last_performance_rating].&amp;[A]" c="A"/>
              <i n="[Emp_Info].[Last_performance_rating].&amp;[B]" c="B"/>
              <i n="[Emp_Info].[Last_performance_rating].&amp;[C]" c="C"/>
              <i n="[Emp_Info].[Last_performance_rating].&amp;[PIP]" c="PIP"/>
              <i n="[Emp_Info].[Last_performance_rating].&amp;[S]" c="S"/>
            </range>
          </ranges>
        </level>
      </levels>
      <selections count="1">
        <selection n="[Emp_Info].[Last_performance_ratin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1BA8F7D5-22A9-462A-9EAE-A15AEC66F635}" sourceName="[Emp_Info].[Title]">
  <pivotTables>
    <pivotTable tabId="5" name="PivotTable1"/>
  </pivotTables>
  <data>
    <olap pivotCacheId="280731229">
      <levels count="2">
        <level uniqueName="[Emp_Info].[Title].[(All)]" sourceCaption="(All)" count="0"/>
        <level uniqueName="[Emp_Info].[Title].[Title]" sourceCaption="Title" count="6">
          <ranges>
            <range startItem="0">
              <i n="[Emp_Info].[Title].&amp;[Assistant Engineer]" c="Assistant Engineer"/>
              <i n="[Emp_Info].[Title].&amp;[Engineer]" c="Engineer"/>
              <i n="[Emp_Info].[Title].&amp;[Senior Engineer]" c="Senior Engineer"/>
              <i n="[Emp_Info].[Title].&amp;[Senior Staff]" c="Senior Staff"/>
              <i n="[Emp_Info].[Title].&amp;[Staff]" c="Staff"/>
              <i n="[Emp_Info].[Title].&amp;[Technique Leader]" c="Technique Leader"/>
            </range>
          </ranges>
        </level>
      </levels>
      <selections count="1">
        <selection n="[Emp_Info].[Tit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_Name" xr10:uid="{69A981E9-96B4-4959-8B22-642A2CB3E690}" sourceName="[Dep_Info].[Dep_Name]">
  <pivotTables>
    <pivotTable tabId="5" name="PivotTable1"/>
  </pivotTables>
  <data>
    <olap pivotCacheId="280731229">
      <levels count="2">
        <level uniqueName="[Dep_Info].[Dep_Name].[(All)]" sourceCaption="(All)" count="0"/>
        <level uniqueName="[Dep_Info].[Dep_Name].[Dep_Name]" sourceCaption="Dep_Name" count="9">
          <ranges>
            <range startItem="0">
              <i n="[Dep_Info].[Dep_Name].&amp;[Customer Service]" c="Customer Service"/>
              <i n="[Dep_Info].[Dep_Name].&amp;[Development]" c="Development"/>
              <i n="[Dep_Info].[Dep_Name].&amp;[Finance]" c="Finance"/>
              <i n="[Dep_Info].[Dep_Name].&amp;[Human Resources]" c="Human Resources"/>
              <i n="[Dep_Info].[Dep_Name].&amp;[Marketing]" c="Marketing"/>
              <i n="[Dep_Info].[Dep_Name].&amp;[Production]" c="Production"/>
              <i n="[Dep_Info].[Dep_Name].&amp;[Quality Management]" c="Quality Management"/>
              <i n="[Dep_Info].[Dep_Name].&amp;[Research]" c="Research"/>
              <i n="[Dep_Info].[Dep_Name].&amp;[Sales]" c="Sales"/>
            </range>
          </ranges>
        </level>
      </levels>
      <selections count="1">
        <selection n="[Dep_Info].[Dep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66C1D17-47B7-43F6-BE34-96E73A7F215A}" cache="Slicer_Gender" caption="Gender" level="1" rowHeight="241300"/>
  <slicer name="Left?" xr10:uid="{1075ED41-6A23-40A1-A460-71C8F1266AAA}" cache="Slicer_Left?" caption="Left?" level="1" rowHeight="241300"/>
  <slicer name="Last_performance_rating" xr10:uid="{FCE7EAB3-2E39-4A23-B502-A954A94B1A7B}" cache="Slicer_Last_performance_rating" caption="Last_performance_rating" level="1" rowHeight="241300"/>
  <slicer name="Title" xr10:uid="{24477C20-3CBA-40B1-95AE-5A2C593612B0}" cache="Slicer_Title" caption="Title" level="1" rowHeight="241300"/>
  <slicer name="Dep_Name" xr10:uid="{B2FAEA56-5FA1-43E4-9A15-76A1D07EC829}" cache="Slicer_Dep_Name" caption="Dep_Nam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74875-4BD9-466F-A4C9-4BBC55802FFA}" name="Table1" displayName="Table1" ref="A1:M501" totalsRowShown="0" headerRowDxfId="82" headerRowBorderDxfId="81" tableBorderDxfId="80" totalsRowBorderDxfId="79">
  <tableColumns count="13">
    <tableColumn id="1" xr3:uid="{C1C04003-B64B-473C-A31C-A203D0EDBD26}" name="Emp_Id" dataDxfId="78"/>
    <tableColumn id="2" xr3:uid="{43EFB848-CDF8-4E0A-AD81-332D40B3FE95}" name="DOB" dataDxfId="77"/>
    <tableColumn id="3" xr3:uid="{F7FE6E9B-F5A2-42D7-89D3-D6C3CD750FE8}" name="first_name" dataDxfId="76"/>
    <tableColumn id="4" xr3:uid="{78838B29-B62E-4F2C-92E5-38DCFF4F0C37}" name="last_name" dataDxfId="75"/>
    <tableColumn id="5" xr3:uid="{F6414DAA-9E50-480D-873F-BD2B6FE41550}" name="Gender" dataDxfId="74"/>
    <tableColumn id="6" xr3:uid="{836B5ACE-9DA9-4F57-BF3F-C0354E81EDA9}" name="DoJ" dataDxfId="73"/>
    <tableColumn id="7" xr3:uid="{E3C17614-B752-45C6-9E17-3E60BFD0FE16}" name="no_of_projects" dataDxfId="72"/>
    <tableColumn id="8" xr3:uid="{C8C3B82B-C713-46DB-9619-BF456856843E}" name="Last_performance_rating" dataDxfId="71"/>
    <tableColumn id="9" xr3:uid="{1F131D43-260C-469B-BE35-8C1A48B76127}" name="Left?" dataDxfId="70"/>
    <tableColumn id="10" xr3:uid="{D131FBE6-18BD-4155-A21F-ED2887D598A3}" name="last_date" dataDxfId="69"/>
    <tableColumn id="11" xr3:uid="{44016CBE-B03F-4CAC-BA42-F2C20A562939}" name="Salary" dataDxfId="68"/>
    <tableColumn id="12" xr3:uid="{4B4CCEA7-9604-4DF2-9AEF-CE52DF9DA1FE}" name="Dept_Id" dataDxfId="67"/>
    <tableColumn id="13" xr3:uid="{8D7EC862-3FF0-4C1A-8D78-E04C9F5210F9}" name="Title"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723206-62CD-462F-ABDC-91765A5D8048}" name="Table15" displayName="Table15" ref="A1:N501" totalsRowShown="0" headerRowDxfId="42" headerRowBorderDxfId="40" tableBorderDxfId="41" totalsRowBorderDxfId="39">
  <autoFilter ref="A1:N501" xr:uid="{0D723206-62CD-462F-ABDC-91765A5D8048}"/>
  <tableColumns count="14">
    <tableColumn id="1" xr3:uid="{BDB7255D-6CD8-4F7E-9EA2-1501B76DA726}" name="Emp_Id" dataDxfId="38"/>
    <tableColumn id="2" xr3:uid="{C46E3F27-CE03-409E-B242-32D5C67A50FF}" name="DOB" dataDxfId="37"/>
    <tableColumn id="3" xr3:uid="{D14D9708-D8A0-4148-BC98-46A82C723A1A}" name="first_name" dataDxfId="36"/>
    <tableColumn id="4" xr3:uid="{5234FD2E-E636-404B-AC8C-594774D683FA}" name="last_name" dataDxfId="35"/>
    <tableColumn id="5" xr3:uid="{93ECC50A-A428-4D62-A0F0-0F7548A37CA8}" name="Gender" dataDxfId="34"/>
    <tableColumn id="6" xr3:uid="{0820CE02-C95B-4045-BC84-00B0A77BD1FC}" name="DoJ" dataDxfId="33"/>
    <tableColumn id="7" xr3:uid="{8A5E805F-FCE2-467D-AFFB-28526C236355}" name="no_of_projects" dataDxfId="32"/>
    <tableColumn id="8" xr3:uid="{7D12B75A-8D32-48E2-AD08-5559EEBC86D7}" name="Last_performance_rating" dataDxfId="31"/>
    <tableColumn id="9" xr3:uid="{7EDD958B-B5B4-4AA0-99F3-476351418A92}" name="Left?" dataDxfId="30"/>
    <tableColumn id="10" xr3:uid="{45C8F0BA-F2EA-4024-93D3-C346A4458872}" name="last_date" dataDxfId="28"/>
    <tableColumn id="11" xr3:uid="{EC39CA16-C697-4C45-A8D4-64DF6ECF25FE}" name="Salary" dataDxfId="26" dataCellStyle="Comma"/>
    <tableColumn id="12" xr3:uid="{8FF9908F-4BB1-4097-8F35-94D0CA69124C}" name="Dept_Id" dataDxfId="27"/>
    <tableColumn id="13" xr3:uid="{6670955D-F122-4526-B59E-4A469183B241}" name="Title" dataDxfId="29"/>
    <tableColumn id="14" xr3:uid="{E069E03F-1D0F-4E52-8743-5FBE3F35452B}" name="Performance issues?" dataDxfId="21">
      <calculatedColumnFormula>IF(AND( Table15[[#This Row],[Salary]] &gt;= 80000, OR(Table15[[#This Row],[Last_performance_rating]] = "C", Table15[[#This Row],[Last_performance_rating]] = "PIP")) =  TRUE, 1, 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108640-36A4-4D31-9350-B6A8D730E5B2}" name="Table13" displayName="Table13" ref="A1:N501" totalsRowShown="0" headerRowDxfId="60" headerRowBorderDxfId="58" tableBorderDxfId="59" totalsRowBorderDxfId="57">
  <autoFilter ref="A1:N501" xr:uid="{9D108640-36A4-4D31-9350-B6A8D730E5B2}"/>
  <tableColumns count="14">
    <tableColumn id="1" xr3:uid="{317FEF6F-0DE4-4687-9D58-14B5C932F593}" name="Emp_Id" dataDxfId="56"/>
    <tableColumn id="2" xr3:uid="{BFD8ACF9-5F15-4420-89B8-55756B24287F}" name="DOB" dataDxfId="55"/>
    <tableColumn id="3" xr3:uid="{0E5E0BE9-E91B-46B6-94E1-64A6B57A2272}" name="first_name" dataDxfId="54"/>
    <tableColumn id="4" xr3:uid="{106DB888-D3E0-4E17-AD57-8F4A680DD9FD}" name="last_name" dataDxfId="53"/>
    <tableColumn id="5" xr3:uid="{245087D5-134E-4DEC-B09B-4749BE6B0FEB}" name="Gender" dataDxfId="52"/>
    <tableColumn id="6" xr3:uid="{F489E468-E40B-4337-BCC7-945BF521DE74}" name="DoJ" dataDxfId="51"/>
    <tableColumn id="7" xr3:uid="{BD7BDC51-AF8F-4FCA-A567-052FAE950C9A}" name="no_of_projects" dataDxfId="50"/>
    <tableColumn id="8" xr3:uid="{68C8C791-3FF7-42DE-BE4F-EEF07D1A57A9}" name="Last_performance_rating" dataDxfId="49"/>
    <tableColumn id="9" xr3:uid="{405E66C7-0B8C-4842-B2C6-35839839B2F6}" name="Left?" dataDxfId="48"/>
    <tableColumn id="10" xr3:uid="{2F5419AA-6143-43BC-8868-A941BC7765F9}" name="last_date" dataDxfId="47"/>
    <tableColumn id="11" xr3:uid="{7371A758-5100-4683-A59A-BE6787700B22}" name="Salary" dataDxfId="46"/>
    <tableColumn id="12" xr3:uid="{EC6FA5C5-16D3-4BBF-A63B-567603F5815E}" name="Dept_Id" dataDxfId="45"/>
    <tableColumn id="13" xr3:uid="{CC64B7C5-11E3-4F03-A19E-14FF68B58FA9}" name="Title" dataDxfId="44"/>
    <tableColumn id="14" xr3:uid="{5EAFAE6A-CDA2-4DE0-8E4F-F6BAEB54DA22}" name="DepName" dataDxfId="43">
      <calculatedColumnFormula>INDEX(Table3[#All], MATCH(Table13[[#This Row],[Dept_Id]], Table3[[#All],[Dept_Id]], 0), 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2EA691-BB47-4D62-8D11-E870C3708C36}" name="Table3" displayName="Table3" ref="A1:B10" totalsRowShown="0" headerRowBorderDxfId="65" tableBorderDxfId="64" totalsRowBorderDxfId="63">
  <tableColumns count="2">
    <tableColumn id="1" xr3:uid="{A5E93F6F-3FD9-4013-87A6-B782F059B0B9}" name="Dep_Name" dataDxfId="62"/>
    <tableColumn id="2" xr3:uid="{4CB6F534-9A9E-4734-AEE7-3B10126EE429}" name="Dept_Id" dataDxfId="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oJ" xr10:uid="{E34678FA-A830-4E40-A29A-A084339F4ED3}" sourceName="[Emp_Info].[DoJ]">
  <pivotTables>
    <pivotTable tabId="5" name="PivotTable1"/>
  </pivotTables>
  <state minimalRefreshVersion="6" lastRefreshVersion="6" pivotCacheId="51159857" filterType="unknown">
    <bounds startDate="1985-01-01T00:00:00" endDate="200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J" xr10:uid="{F61ECCCE-279A-4B19-9E0C-E9EBE1C138F9}" cache="Timeline_DoJ" caption="DoJ" level="2" selectionLevel="2" scrollPosition="1999-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D8424-7C2D-4214-8C6E-1026FB0D9004}">
  <dimension ref="A1:M501"/>
  <sheetViews>
    <sheetView topLeftCell="E1" zoomScale="122" zoomScaleNormal="145" workbookViewId="0">
      <selection activeCell="J11" sqref="A2:M501"/>
    </sheetView>
  </sheetViews>
  <sheetFormatPr defaultRowHeight="15" x14ac:dyDescent="0.25"/>
  <cols>
    <col min="1" max="1" width="9.85546875" bestFit="1" customWidth="1"/>
    <col min="2" max="2" width="15.140625" customWidth="1"/>
    <col min="3" max="3" width="12.85546875" bestFit="1" customWidth="1"/>
    <col min="4" max="4" width="17.7109375" bestFit="1" customWidth="1"/>
    <col min="5" max="5" width="10" bestFit="1" customWidth="1"/>
    <col min="6" max="6" width="14.140625" customWidth="1"/>
    <col min="7" max="7" width="16.7109375" bestFit="1" customWidth="1"/>
    <col min="8" max="8" width="25.7109375" bestFit="1" customWidth="1"/>
    <col min="9" max="9" width="7.7109375" bestFit="1" customWidth="1"/>
    <col min="10" max="10" width="15" customWidth="1"/>
    <col min="11" max="11" width="8.5703125" bestFit="1" customWidth="1"/>
    <col min="12" max="12" width="10.28515625" bestFit="1" customWidth="1"/>
    <col min="13" max="13" width="17.5703125" bestFit="1" customWidth="1"/>
  </cols>
  <sheetData>
    <row r="1" spans="1:13" x14ac:dyDescent="0.25">
      <c r="A1" s="4" t="s">
        <v>0</v>
      </c>
      <c r="B1" s="5" t="s">
        <v>1707</v>
      </c>
      <c r="C1" s="5" t="s">
        <v>1</v>
      </c>
      <c r="D1" s="5" t="s">
        <v>2</v>
      </c>
      <c r="E1" s="5" t="s">
        <v>3</v>
      </c>
      <c r="F1" s="5" t="s">
        <v>4</v>
      </c>
      <c r="G1" s="5" t="s">
        <v>5</v>
      </c>
      <c r="H1" s="5" t="s">
        <v>6</v>
      </c>
      <c r="I1" s="5" t="s">
        <v>1706</v>
      </c>
      <c r="J1" s="5" t="s">
        <v>7</v>
      </c>
      <c r="K1" s="5" t="s">
        <v>1708</v>
      </c>
      <c r="L1" s="5" t="s">
        <v>8</v>
      </c>
      <c r="M1" s="6" t="s">
        <v>9</v>
      </c>
    </row>
    <row r="2" spans="1:13" x14ac:dyDescent="0.25">
      <c r="A2" s="2">
        <v>10001</v>
      </c>
      <c r="B2" s="1" t="s">
        <v>10</v>
      </c>
      <c r="C2" s="1" t="s">
        <v>11</v>
      </c>
      <c r="D2" s="1" t="s">
        <v>12</v>
      </c>
      <c r="E2" s="1" t="s">
        <v>13</v>
      </c>
      <c r="F2" s="1" t="s">
        <v>14</v>
      </c>
      <c r="G2" s="1">
        <v>9</v>
      </c>
      <c r="H2" s="1" t="s">
        <v>15</v>
      </c>
      <c r="I2" s="1">
        <v>1</v>
      </c>
      <c r="J2" s="1" t="s">
        <v>16</v>
      </c>
      <c r="K2" s="1">
        <v>60117</v>
      </c>
      <c r="L2" s="1" t="s">
        <v>17</v>
      </c>
      <c r="M2" s="3" t="s">
        <v>18</v>
      </c>
    </row>
    <row r="3" spans="1:13" x14ac:dyDescent="0.25">
      <c r="A3" s="2">
        <v>10003</v>
      </c>
      <c r="B3" s="1" t="s">
        <v>19</v>
      </c>
      <c r="C3" s="1" t="s">
        <v>20</v>
      </c>
      <c r="D3" s="1" t="s">
        <v>21</v>
      </c>
      <c r="E3" s="1" t="s">
        <v>13</v>
      </c>
      <c r="F3" s="1" t="s">
        <v>22</v>
      </c>
      <c r="G3" s="1">
        <v>1</v>
      </c>
      <c r="H3" s="1" t="s">
        <v>15</v>
      </c>
      <c r="I3" s="1">
        <v>0</v>
      </c>
      <c r="J3" s="1" t="s">
        <v>23</v>
      </c>
      <c r="K3" s="1">
        <v>40006</v>
      </c>
      <c r="L3" s="1" t="s">
        <v>24</v>
      </c>
      <c r="M3" s="3" t="s">
        <v>18</v>
      </c>
    </row>
    <row r="4" spans="1:13" x14ac:dyDescent="0.25">
      <c r="A4" s="2">
        <v>10004</v>
      </c>
      <c r="B4" s="1" t="s">
        <v>25</v>
      </c>
      <c r="C4" s="1" t="s">
        <v>26</v>
      </c>
      <c r="D4" s="1" t="s">
        <v>27</v>
      </c>
      <c r="E4" s="1" t="s">
        <v>13</v>
      </c>
      <c r="F4" s="1" t="s">
        <v>28</v>
      </c>
      <c r="G4" s="1">
        <v>5</v>
      </c>
      <c r="H4" s="1" t="s">
        <v>29</v>
      </c>
      <c r="I4" s="1">
        <v>0</v>
      </c>
      <c r="J4" s="1" t="s">
        <v>23</v>
      </c>
      <c r="K4" s="1">
        <v>40054</v>
      </c>
      <c r="L4" s="1" t="s">
        <v>24</v>
      </c>
      <c r="M4" s="3" t="s">
        <v>18</v>
      </c>
    </row>
    <row r="5" spans="1:13" x14ac:dyDescent="0.25">
      <c r="A5" s="2">
        <v>10006</v>
      </c>
      <c r="B5" s="1" t="s">
        <v>30</v>
      </c>
      <c r="C5" s="1" t="s">
        <v>31</v>
      </c>
      <c r="D5" s="1" t="s">
        <v>32</v>
      </c>
      <c r="E5" s="1" t="s">
        <v>33</v>
      </c>
      <c r="F5" s="1" t="s">
        <v>34</v>
      </c>
      <c r="G5" s="1">
        <v>10</v>
      </c>
      <c r="H5" s="1" t="s">
        <v>35</v>
      </c>
      <c r="I5" s="1">
        <v>0</v>
      </c>
      <c r="J5" s="1" t="s">
        <v>23</v>
      </c>
      <c r="K5" s="1">
        <v>40000</v>
      </c>
      <c r="L5" s="1" t="s">
        <v>17</v>
      </c>
      <c r="M5" s="3" t="s">
        <v>18</v>
      </c>
    </row>
    <row r="6" spans="1:13" x14ac:dyDescent="0.25">
      <c r="A6" s="2">
        <v>10002</v>
      </c>
      <c r="B6" s="1" t="s">
        <v>36</v>
      </c>
      <c r="C6" s="1" t="s">
        <v>37</v>
      </c>
      <c r="D6" s="1" t="s">
        <v>38</v>
      </c>
      <c r="E6" s="1" t="s">
        <v>33</v>
      </c>
      <c r="F6" s="1" t="s">
        <v>39</v>
      </c>
      <c r="G6" s="1">
        <v>8</v>
      </c>
      <c r="H6" s="1" t="s">
        <v>35</v>
      </c>
      <c r="I6" s="1">
        <v>0</v>
      </c>
      <c r="J6" s="1" t="s">
        <v>23</v>
      </c>
      <c r="K6" s="1">
        <v>65828</v>
      </c>
      <c r="L6" s="1" t="s">
        <v>40</v>
      </c>
      <c r="M6" s="3" t="s">
        <v>41</v>
      </c>
    </row>
    <row r="7" spans="1:13" x14ac:dyDescent="0.25">
      <c r="A7" s="2">
        <v>10005</v>
      </c>
      <c r="B7" s="1" t="s">
        <v>42</v>
      </c>
      <c r="C7" s="1" t="s">
        <v>43</v>
      </c>
      <c r="D7" s="1" t="s">
        <v>44</v>
      </c>
      <c r="E7" s="1" t="s">
        <v>13</v>
      </c>
      <c r="F7" s="1" t="s">
        <v>45</v>
      </c>
      <c r="G7" s="1">
        <v>6</v>
      </c>
      <c r="H7" s="1" t="s">
        <v>29</v>
      </c>
      <c r="I7" s="1">
        <v>0</v>
      </c>
      <c r="J7" s="1" t="s">
        <v>23</v>
      </c>
      <c r="K7" s="1">
        <v>78228</v>
      </c>
      <c r="L7" s="1" t="s">
        <v>46</v>
      </c>
      <c r="M7" s="3" t="s">
        <v>41</v>
      </c>
    </row>
    <row r="8" spans="1:13" x14ac:dyDescent="0.25">
      <c r="A8" s="2">
        <v>421786</v>
      </c>
      <c r="B8" s="1" t="s">
        <v>47</v>
      </c>
      <c r="C8" s="1" t="s">
        <v>48</v>
      </c>
      <c r="D8" s="1" t="s">
        <v>49</v>
      </c>
      <c r="E8" s="1" t="s">
        <v>13</v>
      </c>
      <c r="F8" s="1" t="s">
        <v>50</v>
      </c>
      <c r="G8" s="1">
        <v>2</v>
      </c>
      <c r="H8" s="1" t="s">
        <v>15</v>
      </c>
      <c r="I8" s="1">
        <v>0</v>
      </c>
      <c r="J8" s="1" t="s">
        <v>23</v>
      </c>
      <c r="K8" s="1">
        <v>40000</v>
      </c>
      <c r="L8" s="1" t="s">
        <v>46</v>
      </c>
      <c r="M8" s="3" t="s">
        <v>41</v>
      </c>
    </row>
    <row r="9" spans="1:13" x14ac:dyDescent="0.25">
      <c r="A9" s="2">
        <v>57444</v>
      </c>
      <c r="B9" s="1" t="s">
        <v>51</v>
      </c>
      <c r="C9" s="1" t="s">
        <v>52</v>
      </c>
      <c r="D9" s="1" t="s">
        <v>53</v>
      </c>
      <c r="E9" s="1" t="s">
        <v>33</v>
      </c>
      <c r="F9" s="1" t="s">
        <v>54</v>
      </c>
      <c r="G9" s="1">
        <v>9</v>
      </c>
      <c r="H9" s="1" t="s">
        <v>29</v>
      </c>
      <c r="I9" s="1">
        <v>0</v>
      </c>
      <c r="J9" s="1" t="s">
        <v>23</v>
      </c>
      <c r="K9" s="1">
        <v>48973</v>
      </c>
      <c r="L9" s="1" t="s">
        <v>24</v>
      </c>
      <c r="M9" s="3" t="s">
        <v>55</v>
      </c>
    </row>
    <row r="10" spans="1:13" x14ac:dyDescent="0.25">
      <c r="A10" s="2">
        <v>10007</v>
      </c>
      <c r="B10" s="1" t="s">
        <v>56</v>
      </c>
      <c r="C10" s="1" t="s">
        <v>57</v>
      </c>
      <c r="D10" s="1" t="s">
        <v>58</v>
      </c>
      <c r="E10" s="1" t="s">
        <v>33</v>
      </c>
      <c r="F10" s="1" t="s">
        <v>59</v>
      </c>
      <c r="G10" s="1">
        <v>6</v>
      </c>
      <c r="H10" s="1" t="s">
        <v>35</v>
      </c>
      <c r="I10" s="1">
        <v>1</v>
      </c>
      <c r="J10" s="1" t="s">
        <v>60</v>
      </c>
      <c r="K10" s="1">
        <v>56724</v>
      </c>
      <c r="L10" s="1" t="s">
        <v>61</v>
      </c>
      <c r="M10" s="3" t="s">
        <v>41</v>
      </c>
    </row>
    <row r="11" spans="1:13" x14ac:dyDescent="0.25">
      <c r="A11" s="2">
        <v>10008</v>
      </c>
      <c r="B11" s="1" t="s">
        <v>62</v>
      </c>
      <c r="C11" s="1" t="s">
        <v>63</v>
      </c>
      <c r="D11" s="1" t="s">
        <v>64</v>
      </c>
      <c r="E11" s="1" t="s">
        <v>13</v>
      </c>
      <c r="F11" s="1" t="s">
        <v>65</v>
      </c>
      <c r="G11" s="1">
        <v>9</v>
      </c>
      <c r="H11" s="1" t="s">
        <v>15</v>
      </c>
      <c r="I11" s="1">
        <v>0</v>
      </c>
      <c r="J11" s="1" t="s">
        <v>23</v>
      </c>
      <c r="K11" s="1">
        <v>46671</v>
      </c>
      <c r="L11" s="1" t="s">
        <v>17</v>
      </c>
      <c r="M11" s="3" t="s">
        <v>66</v>
      </c>
    </row>
    <row r="12" spans="1:13" x14ac:dyDescent="0.25">
      <c r="A12" s="2">
        <v>282238</v>
      </c>
      <c r="B12" s="1" t="s">
        <v>67</v>
      </c>
      <c r="C12" s="1" t="s">
        <v>68</v>
      </c>
      <c r="D12" s="1" t="s">
        <v>69</v>
      </c>
      <c r="E12" s="1" t="s">
        <v>33</v>
      </c>
      <c r="F12" s="1" t="s">
        <v>70</v>
      </c>
      <c r="G12" s="1">
        <v>6</v>
      </c>
      <c r="H12" s="1" t="s">
        <v>35</v>
      </c>
      <c r="I12" s="1">
        <v>0</v>
      </c>
      <c r="J12" s="1" t="s">
        <v>23</v>
      </c>
      <c r="K12" s="1">
        <v>40000</v>
      </c>
      <c r="L12" s="1" t="s">
        <v>71</v>
      </c>
      <c r="M12" s="3" t="s">
        <v>18</v>
      </c>
    </row>
    <row r="13" spans="1:13" x14ac:dyDescent="0.25">
      <c r="A13" s="2">
        <v>10009</v>
      </c>
      <c r="B13" s="1" t="s">
        <v>72</v>
      </c>
      <c r="C13" s="1" t="s">
        <v>73</v>
      </c>
      <c r="D13" s="1" t="s">
        <v>74</v>
      </c>
      <c r="E13" s="1" t="s">
        <v>33</v>
      </c>
      <c r="F13" s="1" t="s">
        <v>75</v>
      </c>
      <c r="G13" s="1">
        <v>8</v>
      </c>
      <c r="H13" s="1" t="s">
        <v>35</v>
      </c>
      <c r="I13" s="1">
        <v>0</v>
      </c>
      <c r="J13" s="1" t="s">
        <v>23</v>
      </c>
      <c r="K13" s="1">
        <v>60929</v>
      </c>
      <c r="L13" s="1" t="s">
        <v>71</v>
      </c>
      <c r="M13" s="3" t="s">
        <v>18</v>
      </c>
    </row>
    <row r="14" spans="1:13" x14ac:dyDescent="0.25">
      <c r="A14" s="2">
        <v>10010</v>
      </c>
      <c r="B14" s="1" t="s">
        <v>76</v>
      </c>
      <c r="C14" s="1" t="s">
        <v>77</v>
      </c>
      <c r="D14" s="1" t="s">
        <v>78</v>
      </c>
      <c r="E14" s="1" t="s">
        <v>33</v>
      </c>
      <c r="F14" s="1" t="s">
        <v>79</v>
      </c>
      <c r="G14" s="1">
        <v>4</v>
      </c>
      <c r="H14" s="1" t="s">
        <v>29</v>
      </c>
      <c r="I14" s="1">
        <v>0</v>
      </c>
      <c r="J14" s="1" t="s">
        <v>23</v>
      </c>
      <c r="K14" s="1">
        <v>72488</v>
      </c>
      <c r="L14" s="1" t="s">
        <v>24</v>
      </c>
      <c r="M14" s="3" t="s">
        <v>55</v>
      </c>
    </row>
    <row r="15" spans="1:13" x14ac:dyDescent="0.25">
      <c r="A15" s="2">
        <v>10010</v>
      </c>
      <c r="B15" s="1" t="s">
        <v>76</v>
      </c>
      <c r="C15" s="1" t="s">
        <v>77</v>
      </c>
      <c r="D15" s="1" t="s">
        <v>78</v>
      </c>
      <c r="E15" s="1" t="s">
        <v>33</v>
      </c>
      <c r="F15" s="1" t="s">
        <v>79</v>
      </c>
      <c r="G15" s="1">
        <v>4</v>
      </c>
      <c r="H15" s="1" t="s">
        <v>29</v>
      </c>
      <c r="I15" s="1">
        <v>0</v>
      </c>
      <c r="J15" s="1" t="s">
        <v>23</v>
      </c>
      <c r="K15" s="1">
        <v>72488</v>
      </c>
      <c r="L15" s="1" t="s">
        <v>71</v>
      </c>
      <c r="M15" s="3" t="s">
        <v>55</v>
      </c>
    </row>
    <row r="16" spans="1:13" x14ac:dyDescent="0.25">
      <c r="A16" s="2">
        <v>263976</v>
      </c>
      <c r="B16" s="1" t="s">
        <v>80</v>
      </c>
      <c r="C16" s="1" t="s">
        <v>81</v>
      </c>
      <c r="D16" s="1" t="s">
        <v>82</v>
      </c>
      <c r="E16" s="1" t="s">
        <v>13</v>
      </c>
      <c r="F16" s="1" t="s">
        <v>83</v>
      </c>
      <c r="G16" s="1">
        <v>8</v>
      </c>
      <c r="H16" s="1" t="s">
        <v>35</v>
      </c>
      <c r="I16" s="1">
        <v>1</v>
      </c>
      <c r="J16" s="1" t="s">
        <v>84</v>
      </c>
      <c r="K16" s="1">
        <v>40000</v>
      </c>
      <c r="L16" s="1" t="s">
        <v>71</v>
      </c>
      <c r="M16" s="3" t="s">
        <v>18</v>
      </c>
    </row>
    <row r="17" spans="1:13" x14ac:dyDescent="0.25">
      <c r="A17" s="2">
        <v>10011</v>
      </c>
      <c r="B17" s="1" t="s">
        <v>85</v>
      </c>
      <c r="C17" s="1" t="s">
        <v>86</v>
      </c>
      <c r="D17" s="1" t="s">
        <v>87</v>
      </c>
      <c r="E17" s="1" t="s">
        <v>33</v>
      </c>
      <c r="F17" s="1" t="s">
        <v>88</v>
      </c>
      <c r="G17" s="1">
        <v>6</v>
      </c>
      <c r="H17" s="1" t="s">
        <v>15</v>
      </c>
      <c r="I17" s="1">
        <v>0</v>
      </c>
      <c r="J17" s="1" t="s">
        <v>23</v>
      </c>
      <c r="K17" s="1">
        <v>42365</v>
      </c>
      <c r="L17" s="1" t="s">
        <v>89</v>
      </c>
      <c r="M17" s="3" t="s">
        <v>41</v>
      </c>
    </row>
    <row r="18" spans="1:13" x14ac:dyDescent="0.25">
      <c r="A18" s="2">
        <v>273487</v>
      </c>
      <c r="B18" s="1" t="s">
        <v>90</v>
      </c>
      <c r="C18" s="1" t="s">
        <v>91</v>
      </c>
      <c r="D18" s="1" t="s">
        <v>92</v>
      </c>
      <c r="E18" s="1" t="s">
        <v>13</v>
      </c>
      <c r="F18" s="1" t="s">
        <v>93</v>
      </c>
      <c r="G18" s="1">
        <v>10</v>
      </c>
      <c r="H18" s="1" t="s">
        <v>29</v>
      </c>
      <c r="I18" s="1">
        <v>0</v>
      </c>
      <c r="J18" s="1" t="s">
        <v>23</v>
      </c>
      <c r="K18" s="1">
        <v>56087</v>
      </c>
      <c r="L18" s="1" t="s">
        <v>46</v>
      </c>
      <c r="M18" s="3" t="s">
        <v>41</v>
      </c>
    </row>
    <row r="19" spans="1:13" x14ac:dyDescent="0.25">
      <c r="A19" s="2">
        <v>10012</v>
      </c>
      <c r="B19" s="1" t="s">
        <v>94</v>
      </c>
      <c r="C19" s="1" t="s">
        <v>95</v>
      </c>
      <c r="D19" s="1" t="s">
        <v>96</v>
      </c>
      <c r="E19" s="1" t="s">
        <v>13</v>
      </c>
      <c r="F19" s="1" t="s">
        <v>97</v>
      </c>
      <c r="G19" s="1">
        <v>3</v>
      </c>
      <c r="H19" s="1" t="s">
        <v>29</v>
      </c>
      <c r="I19" s="1">
        <v>0</v>
      </c>
      <c r="J19" s="1" t="s">
        <v>23</v>
      </c>
      <c r="K19" s="1">
        <v>40000</v>
      </c>
      <c r="L19" s="1" t="s">
        <v>17</v>
      </c>
      <c r="M19" s="3" t="s">
        <v>18</v>
      </c>
    </row>
    <row r="20" spans="1:13" x14ac:dyDescent="0.25">
      <c r="A20" s="2">
        <v>10013</v>
      </c>
      <c r="B20" s="1" t="s">
        <v>98</v>
      </c>
      <c r="C20" s="1" t="s">
        <v>99</v>
      </c>
      <c r="D20" s="1" t="s">
        <v>100</v>
      </c>
      <c r="E20" s="1" t="s">
        <v>13</v>
      </c>
      <c r="F20" s="1" t="s">
        <v>101</v>
      </c>
      <c r="G20" s="1">
        <v>6</v>
      </c>
      <c r="H20" s="1" t="s">
        <v>15</v>
      </c>
      <c r="I20" s="1">
        <v>0</v>
      </c>
      <c r="J20" s="1" t="s">
        <v>23</v>
      </c>
      <c r="K20" s="1">
        <v>40000</v>
      </c>
      <c r="L20" s="1" t="s">
        <v>46</v>
      </c>
      <c r="M20" s="3" t="s">
        <v>102</v>
      </c>
    </row>
    <row r="21" spans="1:13" x14ac:dyDescent="0.25">
      <c r="A21" s="2">
        <v>461591</v>
      </c>
      <c r="B21" s="1" t="s">
        <v>103</v>
      </c>
      <c r="C21" s="1" t="s">
        <v>104</v>
      </c>
      <c r="D21" s="1" t="s">
        <v>105</v>
      </c>
      <c r="E21" s="1" t="s">
        <v>13</v>
      </c>
      <c r="F21" s="1" t="s">
        <v>106</v>
      </c>
      <c r="G21" s="1">
        <v>2</v>
      </c>
      <c r="H21" s="1" t="s">
        <v>29</v>
      </c>
      <c r="I21" s="1">
        <v>1</v>
      </c>
      <c r="J21" s="1" t="s">
        <v>107</v>
      </c>
      <c r="K21" s="1">
        <v>40000</v>
      </c>
      <c r="L21" s="1" t="s">
        <v>108</v>
      </c>
      <c r="M21" s="3" t="s">
        <v>102</v>
      </c>
    </row>
    <row r="22" spans="1:13" x14ac:dyDescent="0.25">
      <c r="A22" s="2">
        <v>10014</v>
      </c>
      <c r="B22" s="1" t="s">
        <v>109</v>
      </c>
      <c r="C22" s="1" t="s">
        <v>110</v>
      </c>
      <c r="D22" s="1" t="s">
        <v>111</v>
      </c>
      <c r="E22" s="1" t="s">
        <v>13</v>
      </c>
      <c r="F22" s="1" t="s">
        <v>112</v>
      </c>
      <c r="G22" s="1">
        <v>9</v>
      </c>
      <c r="H22" s="1" t="s">
        <v>35</v>
      </c>
      <c r="I22" s="1">
        <v>0</v>
      </c>
      <c r="J22" s="1" t="s">
        <v>23</v>
      </c>
      <c r="K22" s="1">
        <v>46168</v>
      </c>
      <c r="L22" s="1" t="s">
        <v>17</v>
      </c>
      <c r="M22" s="3" t="s">
        <v>55</v>
      </c>
    </row>
    <row r="23" spans="1:13" x14ac:dyDescent="0.25">
      <c r="A23" s="2">
        <v>10015</v>
      </c>
      <c r="B23" s="1" t="s">
        <v>113</v>
      </c>
      <c r="C23" s="1" t="s">
        <v>114</v>
      </c>
      <c r="D23" s="1" t="s">
        <v>115</v>
      </c>
      <c r="E23" s="1" t="s">
        <v>13</v>
      </c>
      <c r="F23" s="1" t="s">
        <v>116</v>
      </c>
      <c r="G23" s="1">
        <v>4</v>
      </c>
      <c r="H23" s="1" t="s">
        <v>35</v>
      </c>
      <c r="I23" s="1">
        <v>0</v>
      </c>
      <c r="J23" s="1" t="s">
        <v>23</v>
      </c>
      <c r="K23" s="1">
        <v>40000</v>
      </c>
      <c r="L23" s="1" t="s">
        <v>61</v>
      </c>
      <c r="M23" s="3" t="s">
        <v>102</v>
      </c>
    </row>
    <row r="24" spans="1:13" x14ac:dyDescent="0.25">
      <c r="A24" s="2">
        <v>10016</v>
      </c>
      <c r="B24" s="1" t="s">
        <v>117</v>
      </c>
      <c r="C24" s="1" t="s">
        <v>118</v>
      </c>
      <c r="D24" s="1" t="s">
        <v>119</v>
      </c>
      <c r="E24" s="1" t="s">
        <v>13</v>
      </c>
      <c r="F24" s="1" t="s">
        <v>120</v>
      </c>
      <c r="G24" s="1">
        <v>5</v>
      </c>
      <c r="H24" s="1" t="s">
        <v>15</v>
      </c>
      <c r="I24" s="1">
        <v>0</v>
      </c>
      <c r="J24" s="1" t="s">
        <v>23</v>
      </c>
      <c r="K24" s="1">
        <v>70889</v>
      </c>
      <c r="L24" s="1" t="s">
        <v>40</v>
      </c>
      <c r="M24" s="3" t="s">
        <v>41</v>
      </c>
    </row>
    <row r="25" spans="1:13" x14ac:dyDescent="0.25">
      <c r="A25" s="2">
        <v>10017</v>
      </c>
      <c r="B25" s="1" t="s">
        <v>121</v>
      </c>
      <c r="C25" s="1" t="s">
        <v>122</v>
      </c>
      <c r="D25" s="1" t="s">
        <v>123</v>
      </c>
      <c r="E25" s="1" t="s">
        <v>33</v>
      </c>
      <c r="F25" s="1" t="s">
        <v>124</v>
      </c>
      <c r="G25" s="1">
        <v>10</v>
      </c>
      <c r="H25" s="1" t="s">
        <v>29</v>
      </c>
      <c r="I25" s="1">
        <v>0</v>
      </c>
      <c r="J25" s="1" t="s">
        <v>23</v>
      </c>
      <c r="K25" s="1">
        <v>71380</v>
      </c>
      <c r="L25" s="1" t="s">
        <v>125</v>
      </c>
      <c r="M25" s="3" t="s">
        <v>41</v>
      </c>
    </row>
    <row r="26" spans="1:13" x14ac:dyDescent="0.25">
      <c r="A26" s="2">
        <v>219881</v>
      </c>
      <c r="B26" s="1" t="s">
        <v>126</v>
      </c>
      <c r="C26" s="1" t="s">
        <v>127</v>
      </c>
      <c r="D26" s="1" t="s">
        <v>128</v>
      </c>
      <c r="E26" s="1" t="s">
        <v>33</v>
      </c>
      <c r="F26" s="1" t="s">
        <v>129</v>
      </c>
      <c r="G26" s="1">
        <v>6</v>
      </c>
      <c r="H26" s="1" t="s">
        <v>35</v>
      </c>
      <c r="I26" s="1">
        <v>0</v>
      </c>
      <c r="J26" s="1" t="s">
        <v>23</v>
      </c>
      <c r="K26" s="1">
        <v>40000</v>
      </c>
      <c r="L26" s="1" t="s">
        <v>89</v>
      </c>
      <c r="M26" s="3" t="s">
        <v>102</v>
      </c>
    </row>
    <row r="27" spans="1:13" x14ac:dyDescent="0.25">
      <c r="A27" s="2">
        <v>10018</v>
      </c>
      <c r="B27" s="1" t="s">
        <v>130</v>
      </c>
      <c r="C27" s="1" t="s">
        <v>131</v>
      </c>
      <c r="D27" s="1" t="s">
        <v>132</v>
      </c>
      <c r="E27" s="1" t="s">
        <v>33</v>
      </c>
      <c r="F27" s="1" t="s">
        <v>133</v>
      </c>
      <c r="G27" s="1">
        <v>4</v>
      </c>
      <c r="H27" s="1" t="s">
        <v>35</v>
      </c>
      <c r="I27" s="1">
        <v>0</v>
      </c>
      <c r="J27" s="1" t="s">
        <v>23</v>
      </c>
      <c r="K27" s="1">
        <v>55881</v>
      </c>
      <c r="L27" s="1" t="s">
        <v>24</v>
      </c>
      <c r="M27" s="3" t="s">
        <v>18</v>
      </c>
    </row>
    <row r="28" spans="1:13" x14ac:dyDescent="0.25">
      <c r="A28" s="2">
        <v>10018</v>
      </c>
      <c r="B28" s="1" t="s">
        <v>130</v>
      </c>
      <c r="C28" s="1" t="s">
        <v>131</v>
      </c>
      <c r="D28" s="1" t="s">
        <v>132</v>
      </c>
      <c r="E28" s="1" t="s">
        <v>33</v>
      </c>
      <c r="F28" s="1" t="s">
        <v>133</v>
      </c>
      <c r="G28" s="1">
        <v>4</v>
      </c>
      <c r="H28" s="1" t="s">
        <v>35</v>
      </c>
      <c r="I28" s="1">
        <v>0</v>
      </c>
      <c r="J28" s="1" t="s">
        <v>23</v>
      </c>
      <c r="K28" s="1">
        <v>55881</v>
      </c>
      <c r="L28" s="1" t="s">
        <v>17</v>
      </c>
      <c r="M28" s="3" t="s">
        <v>18</v>
      </c>
    </row>
    <row r="29" spans="1:13" x14ac:dyDescent="0.25">
      <c r="A29" s="2">
        <v>29920</v>
      </c>
      <c r="B29" s="1" t="s">
        <v>134</v>
      </c>
      <c r="C29" s="1" t="s">
        <v>135</v>
      </c>
      <c r="D29" s="1" t="s">
        <v>136</v>
      </c>
      <c r="E29" s="1" t="s">
        <v>33</v>
      </c>
      <c r="F29" s="1" t="s">
        <v>137</v>
      </c>
      <c r="G29" s="1">
        <v>1</v>
      </c>
      <c r="H29" s="1" t="s">
        <v>138</v>
      </c>
      <c r="I29" s="1">
        <v>0</v>
      </c>
      <c r="J29" s="1" t="s">
        <v>23</v>
      </c>
      <c r="K29" s="1">
        <v>40000</v>
      </c>
      <c r="L29" s="1" t="s">
        <v>24</v>
      </c>
      <c r="M29" s="3" t="s">
        <v>55</v>
      </c>
    </row>
    <row r="30" spans="1:13" x14ac:dyDescent="0.25">
      <c r="A30" s="2">
        <v>10019</v>
      </c>
      <c r="B30" s="1" t="s">
        <v>139</v>
      </c>
      <c r="C30" s="1" t="s">
        <v>140</v>
      </c>
      <c r="D30" s="1" t="s">
        <v>141</v>
      </c>
      <c r="E30" s="1" t="s">
        <v>13</v>
      </c>
      <c r="F30" s="1" t="s">
        <v>142</v>
      </c>
      <c r="G30" s="1">
        <v>4</v>
      </c>
      <c r="H30" s="1" t="s">
        <v>35</v>
      </c>
      <c r="I30" s="1">
        <v>0</v>
      </c>
      <c r="J30" s="1" t="s">
        <v>23</v>
      </c>
      <c r="K30" s="1">
        <v>44276</v>
      </c>
      <c r="L30" s="1" t="s">
        <v>61</v>
      </c>
      <c r="M30" s="3" t="s">
        <v>41</v>
      </c>
    </row>
    <row r="31" spans="1:13" x14ac:dyDescent="0.25">
      <c r="A31" s="2">
        <v>10020</v>
      </c>
      <c r="B31" s="1" t="s">
        <v>143</v>
      </c>
      <c r="C31" s="1" t="s">
        <v>144</v>
      </c>
      <c r="D31" s="1" t="s">
        <v>145</v>
      </c>
      <c r="E31" s="1" t="s">
        <v>13</v>
      </c>
      <c r="F31" s="1" t="s">
        <v>146</v>
      </c>
      <c r="G31" s="1">
        <v>7</v>
      </c>
      <c r="H31" s="1" t="s">
        <v>35</v>
      </c>
      <c r="I31" s="1">
        <v>0</v>
      </c>
      <c r="J31" s="1" t="s">
        <v>23</v>
      </c>
      <c r="K31" s="1">
        <v>40000</v>
      </c>
      <c r="L31" s="1" t="s">
        <v>24</v>
      </c>
      <c r="M31" s="3" t="s">
        <v>55</v>
      </c>
    </row>
    <row r="32" spans="1:13" x14ac:dyDescent="0.25">
      <c r="A32" s="2">
        <v>208153</v>
      </c>
      <c r="B32" s="1" t="s">
        <v>147</v>
      </c>
      <c r="C32" s="1" t="s">
        <v>148</v>
      </c>
      <c r="D32" s="1" t="s">
        <v>149</v>
      </c>
      <c r="E32" s="1" t="s">
        <v>13</v>
      </c>
      <c r="F32" s="1" t="s">
        <v>150</v>
      </c>
      <c r="G32" s="1">
        <v>8</v>
      </c>
      <c r="H32" s="1" t="s">
        <v>15</v>
      </c>
      <c r="I32" s="1">
        <v>1</v>
      </c>
      <c r="J32" s="1" t="s">
        <v>151</v>
      </c>
      <c r="K32" s="1">
        <v>50183</v>
      </c>
      <c r="L32" s="1" t="s">
        <v>17</v>
      </c>
      <c r="M32" s="3" t="s">
        <v>18</v>
      </c>
    </row>
    <row r="33" spans="1:13" x14ac:dyDescent="0.25">
      <c r="A33" s="2">
        <v>10021</v>
      </c>
      <c r="B33" s="1" t="s">
        <v>152</v>
      </c>
      <c r="C33" s="1" t="s">
        <v>153</v>
      </c>
      <c r="D33" s="1" t="s">
        <v>154</v>
      </c>
      <c r="E33" s="1" t="s">
        <v>13</v>
      </c>
      <c r="F33" s="1" t="s">
        <v>155</v>
      </c>
      <c r="G33" s="1">
        <v>1</v>
      </c>
      <c r="H33" s="1" t="s">
        <v>35</v>
      </c>
      <c r="I33" s="1">
        <v>0</v>
      </c>
      <c r="J33" s="1" t="s">
        <v>23</v>
      </c>
      <c r="K33" s="1">
        <v>55025</v>
      </c>
      <c r="L33" s="1" t="s">
        <v>17</v>
      </c>
      <c r="M33" s="3" t="s">
        <v>156</v>
      </c>
    </row>
    <row r="34" spans="1:13" x14ac:dyDescent="0.25">
      <c r="A34" s="2">
        <v>10022</v>
      </c>
      <c r="B34" s="1" t="s">
        <v>157</v>
      </c>
      <c r="C34" s="1" t="s">
        <v>158</v>
      </c>
      <c r="D34" s="1" t="s">
        <v>159</v>
      </c>
      <c r="E34" s="1" t="s">
        <v>13</v>
      </c>
      <c r="F34" s="1" t="s">
        <v>160</v>
      </c>
      <c r="G34" s="1">
        <v>9</v>
      </c>
      <c r="H34" s="1" t="s">
        <v>35</v>
      </c>
      <c r="I34" s="1">
        <v>1</v>
      </c>
      <c r="J34" s="1" t="s">
        <v>161</v>
      </c>
      <c r="K34" s="1">
        <v>40000</v>
      </c>
      <c r="L34" s="1" t="s">
        <v>17</v>
      </c>
      <c r="M34" s="3" t="s">
        <v>55</v>
      </c>
    </row>
    <row r="35" spans="1:13" x14ac:dyDescent="0.25">
      <c r="A35" s="2">
        <v>13616</v>
      </c>
      <c r="B35" s="1" t="s">
        <v>162</v>
      </c>
      <c r="C35" s="1" t="s">
        <v>163</v>
      </c>
      <c r="D35" s="1" t="s">
        <v>164</v>
      </c>
      <c r="E35" s="1" t="s">
        <v>33</v>
      </c>
      <c r="F35" s="1" t="s">
        <v>165</v>
      </c>
      <c r="G35" s="1">
        <v>7</v>
      </c>
      <c r="H35" s="1" t="s">
        <v>15</v>
      </c>
      <c r="I35" s="1">
        <v>0</v>
      </c>
      <c r="J35" s="1" t="s">
        <v>23</v>
      </c>
      <c r="K35" s="1">
        <v>40000</v>
      </c>
      <c r="L35" s="1" t="s">
        <v>17</v>
      </c>
      <c r="M35" s="3" t="s">
        <v>18</v>
      </c>
    </row>
    <row r="36" spans="1:13" x14ac:dyDescent="0.25">
      <c r="A36" s="2">
        <v>13616</v>
      </c>
      <c r="B36" s="1" t="s">
        <v>162</v>
      </c>
      <c r="C36" s="1" t="s">
        <v>163</v>
      </c>
      <c r="D36" s="1" t="s">
        <v>164</v>
      </c>
      <c r="E36" s="1" t="s">
        <v>33</v>
      </c>
      <c r="F36" s="1" t="s">
        <v>165</v>
      </c>
      <c r="G36" s="1">
        <v>7</v>
      </c>
      <c r="H36" s="1" t="s">
        <v>15</v>
      </c>
      <c r="I36" s="1">
        <v>0</v>
      </c>
      <c r="J36" s="1" t="s">
        <v>23</v>
      </c>
      <c r="K36" s="1">
        <v>40000</v>
      </c>
      <c r="L36" s="1" t="s">
        <v>61</v>
      </c>
      <c r="M36" s="3" t="s">
        <v>18</v>
      </c>
    </row>
    <row r="37" spans="1:13" x14ac:dyDescent="0.25">
      <c r="A37" s="2">
        <v>10023</v>
      </c>
      <c r="B37" s="1" t="s">
        <v>166</v>
      </c>
      <c r="C37" s="1" t="s">
        <v>167</v>
      </c>
      <c r="D37" s="1" t="s">
        <v>168</v>
      </c>
      <c r="E37" s="1" t="s">
        <v>33</v>
      </c>
      <c r="F37" s="1" t="s">
        <v>169</v>
      </c>
      <c r="G37" s="1">
        <v>8</v>
      </c>
      <c r="H37" s="1" t="s">
        <v>29</v>
      </c>
      <c r="I37" s="1">
        <v>0</v>
      </c>
      <c r="J37" s="1" t="s">
        <v>23</v>
      </c>
      <c r="K37" s="1">
        <v>47883</v>
      </c>
      <c r="L37" s="1" t="s">
        <v>17</v>
      </c>
      <c r="M37" s="3" t="s">
        <v>55</v>
      </c>
    </row>
    <row r="38" spans="1:13" x14ac:dyDescent="0.25">
      <c r="A38" s="2">
        <v>10024</v>
      </c>
      <c r="B38" s="1" t="s">
        <v>170</v>
      </c>
      <c r="C38" s="1" t="s">
        <v>171</v>
      </c>
      <c r="D38" s="1" t="s">
        <v>172</v>
      </c>
      <c r="E38" s="1" t="s">
        <v>33</v>
      </c>
      <c r="F38" s="1" t="s">
        <v>173</v>
      </c>
      <c r="G38" s="1">
        <v>3</v>
      </c>
      <c r="H38" s="1" t="s">
        <v>29</v>
      </c>
      <c r="I38" s="1">
        <v>0</v>
      </c>
      <c r="J38" s="1" t="s">
        <v>23</v>
      </c>
      <c r="K38" s="1">
        <v>83733</v>
      </c>
      <c r="L38" s="1" t="s">
        <v>24</v>
      </c>
      <c r="M38" s="3" t="s">
        <v>66</v>
      </c>
    </row>
    <row r="39" spans="1:13" x14ac:dyDescent="0.25">
      <c r="A39" s="2">
        <v>246449</v>
      </c>
      <c r="B39" s="1" t="s">
        <v>174</v>
      </c>
      <c r="C39" s="1" t="s">
        <v>175</v>
      </c>
      <c r="D39" s="1" t="s">
        <v>176</v>
      </c>
      <c r="E39" s="1" t="s">
        <v>33</v>
      </c>
      <c r="F39" s="1" t="s">
        <v>177</v>
      </c>
      <c r="G39" s="1">
        <v>9</v>
      </c>
      <c r="H39" s="1" t="s">
        <v>15</v>
      </c>
      <c r="I39" s="1">
        <v>0</v>
      </c>
      <c r="J39" s="1" t="s">
        <v>23</v>
      </c>
      <c r="K39" s="1">
        <v>87084</v>
      </c>
      <c r="L39" s="1" t="s">
        <v>40</v>
      </c>
      <c r="M39" s="3" t="s">
        <v>41</v>
      </c>
    </row>
    <row r="40" spans="1:13" x14ac:dyDescent="0.25">
      <c r="A40" s="2">
        <v>10025</v>
      </c>
      <c r="B40" s="1" t="s">
        <v>178</v>
      </c>
      <c r="C40" s="1" t="s">
        <v>179</v>
      </c>
      <c r="D40" s="1" t="s">
        <v>180</v>
      </c>
      <c r="E40" s="1" t="s">
        <v>13</v>
      </c>
      <c r="F40" s="1" t="s">
        <v>181</v>
      </c>
      <c r="G40" s="1">
        <v>6</v>
      </c>
      <c r="H40" s="1" t="s">
        <v>15</v>
      </c>
      <c r="I40" s="1">
        <v>0</v>
      </c>
      <c r="J40" s="1" t="s">
        <v>23</v>
      </c>
      <c r="K40" s="1">
        <v>40000</v>
      </c>
      <c r="L40" s="1" t="s">
        <v>17</v>
      </c>
      <c r="M40" s="3" t="s">
        <v>156</v>
      </c>
    </row>
    <row r="41" spans="1:13" x14ac:dyDescent="0.25">
      <c r="A41" s="2">
        <v>10026</v>
      </c>
      <c r="B41" s="1" t="s">
        <v>182</v>
      </c>
      <c r="C41" s="1" t="s">
        <v>183</v>
      </c>
      <c r="D41" s="1" t="s">
        <v>184</v>
      </c>
      <c r="E41" s="1" t="s">
        <v>13</v>
      </c>
      <c r="F41" s="1" t="s">
        <v>185</v>
      </c>
      <c r="G41" s="1">
        <v>1</v>
      </c>
      <c r="H41" s="1" t="s">
        <v>138</v>
      </c>
      <c r="I41" s="1">
        <v>0</v>
      </c>
      <c r="J41" s="1" t="s">
        <v>23</v>
      </c>
      <c r="K41" s="1">
        <v>47585</v>
      </c>
      <c r="L41" s="1" t="s">
        <v>24</v>
      </c>
      <c r="M41" s="3" t="s">
        <v>18</v>
      </c>
    </row>
    <row r="42" spans="1:13" x14ac:dyDescent="0.25">
      <c r="A42" s="2">
        <v>21529</v>
      </c>
      <c r="B42" s="1" t="s">
        <v>186</v>
      </c>
      <c r="C42" s="1" t="s">
        <v>167</v>
      </c>
      <c r="D42" s="1" t="s">
        <v>187</v>
      </c>
      <c r="E42" s="1" t="s">
        <v>13</v>
      </c>
      <c r="F42" s="1" t="s">
        <v>188</v>
      </c>
      <c r="G42" s="1">
        <v>7</v>
      </c>
      <c r="H42" s="1" t="s">
        <v>15</v>
      </c>
      <c r="I42" s="1">
        <v>0</v>
      </c>
      <c r="J42" s="1" t="s">
        <v>23</v>
      </c>
      <c r="K42" s="1">
        <v>40000</v>
      </c>
      <c r="L42" s="1" t="s">
        <v>17</v>
      </c>
      <c r="M42" s="3" t="s">
        <v>55</v>
      </c>
    </row>
    <row r="43" spans="1:13" x14ac:dyDescent="0.25">
      <c r="A43" s="2">
        <v>10027</v>
      </c>
      <c r="B43" s="1" t="s">
        <v>189</v>
      </c>
      <c r="C43" s="1" t="s">
        <v>190</v>
      </c>
      <c r="D43" s="1" t="s">
        <v>191</v>
      </c>
      <c r="E43" s="1" t="s">
        <v>33</v>
      </c>
      <c r="F43" s="1" t="s">
        <v>192</v>
      </c>
      <c r="G43" s="1">
        <v>10</v>
      </c>
      <c r="H43" s="1" t="s">
        <v>35</v>
      </c>
      <c r="I43" s="1">
        <v>0</v>
      </c>
      <c r="J43" s="1" t="s">
        <v>23</v>
      </c>
      <c r="K43" s="1">
        <v>40000</v>
      </c>
      <c r="L43" s="1" t="s">
        <v>17</v>
      </c>
      <c r="M43" s="3" t="s">
        <v>18</v>
      </c>
    </row>
    <row r="44" spans="1:13" x14ac:dyDescent="0.25">
      <c r="A44" s="2">
        <v>10028</v>
      </c>
      <c r="B44" s="1" t="s">
        <v>193</v>
      </c>
      <c r="C44" s="1" t="s">
        <v>194</v>
      </c>
      <c r="D44" s="1" t="s">
        <v>195</v>
      </c>
      <c r="E44" s="1" t="s">
        <v>13</v>
      </c>
      <c r="F44" s="1" t="s">
        <v>196</v>
      </c>
      <c r="G44" s="1">
        <v>8</v>
      </c>
      <c r="H44" s="1" t="s">
        <v>35</v>
      </c>
      <c r="I44" s="1">
        <v>0</v>
      </c>
      <c r="J44" s="1" t="s">
        <v>23</v>
      </c>
      <c r="K44" s="1">
        <v>48859</v>
      </c>
      <c r="L44" s="1" t="s">
        <v>17</v>
      </c>
      <c r="M44" s="3" t="s">
        <v>55</v>
      </c>
    </row>
    <row r="45" spans="1:13" x14ac:dyDescent="0.25">
      <c r="A45" s="2">
        <v>17934</v>
      </c>
      <c r="B45" s="1" t="s">
        <v>197</v>
      </c>
      <c r="C45" s="1" t="s">
        <v>198</v>
      </c>
      <c r="D45" s="1" t="s">
        <v>199</v>
      </c>
      <c r="E45" s="1" t="s">
        <v>13</v>
      </c>
      <c r="F45" s="1" t="s">
        <v>200</v>
      </c>
      <c r="G45" s="1">
        <v>7</v>
      </c>
      <c r="H45" s="1" t="s">
        <v>15</v>
      </c>
      <c r="I45" s="1">
        <v>0</v>
      </c>
      <c r="J45" s="1" t="s">
        <v>23</v>
      </c>
      <c r="K45" s="1">
        <v>48795</v>
      </c>
      <c r="L45" s="1" t="s">
        <v>17</v>
      </c>
      <c r="M45" s="3" t="s">
        <v>156</v>
      </c>
    </row>
    <row r="46" spans="1:13" x14ac:dyDescent="0.25">
      <c r="A46" s="2">
        <v>10029</v>
      </c>
      <c r="B46" s="1" t="s">
        <v>201</v>
      </c>
      <c r="C46" s="1" t="s">
        <v>202</v>
      </c>
      <c r="D46" s="1" t="s">
        <v>203</v>
      </c>
      <c r="E46" s="1" t="s">
        <v>13</v>
      </c>
      <c r="F46" s="1" t="s">
        <v>204</v>
      </c>
      <c r="G46" s="1">
        <v>6</v>
      </c>
      <c r="H46" s="1" t="s">
        <v>15</v>
      </c>
      <c r="I46" s="1">
        <v>0</v>
      </c>
      <c r="J46" s="1" t="s">
        <v>23</v>
      </c>
      <c r="K46" s="1">
        <v>63163</v>
      </c>
      <c r="L46" s="1" t="s">
        <v>24</v>
      </c>
      <c r="M46" s="3" t="s">
        <v>18</v>
      </c>
    </row>
    <row r="47" spans="1:13" x14ac:dyDescent="0.25">
      <c r="A47" s="2">
        <v>10029</v>
      </c>
      <c r="B47" s="1" t="s">
        <v>201</v>
      </c>
      <c r="C47" s="1" t="s">
        <v>202</v>
      </c>
      <c r="D47" s="1" t="s">
        <v>203</v>
      </c>
      <c r="E47" s="1" t="s">
        <v>13</v>
      </c>
      <c r="F47" s="1" t="s">
        <v>204</v>
      </c>
      <c r="G47" s="1">
        <v>6</v>
      </c>
      <c r="H47" s="1" t="s">
        <v>15</v>
      </c>
      <c r="I47" s="1">
        <v>0</v>
      </c>
      <c r="J47" s="1" t="s">
        <v>23</v>
      </c>
      <c r="K47" s="1">
        <v>63163</v>
      </c>
      <c r="L47" s="1" t="s">
        <v>71</v>
      </c>
      <c r="M47" s="3" t="s">
        <v>18</v>
      </c>
    </row>
    <row r="48" spans="1:13" x14ac:dyDescent="0.25">
      <c r="A48" s="2">
        <v>48085</v>
      </c>
      <c r="B48" s="1" t="s">
        <v>205</v>
      </c>
      <c r="C48" s="1" t="s">
        <v>206</v>
      </c>
      <c r="D48" s="1" t="s">
        <v>207</v>
      </c>
      <c r="E48" s="1" t="s">
        <v>13</v>
      </c>
      <c r="F48" s="1" t="s">
        <v>208</v>
      </c>
      <c r="G48" s="1">
        <v>9</v>
      </c>
      <c r="H48" s="1" t="s">
        <v>35</v>
      </c>
      <c r="I48" s="1">
        <v>0</v>
      </c>
      <c r="J48" s="1" t="s">
        <v>23</v>
      </c>
      <c r="K48" s="1">
        <v>63016</v>
      </c>
      <c r="L48" s="1" t="s">
        <v>108</v>
      </c>
      <c r="M48" s="3" t="s">
        <v>41</v>
      </c>
    </row>
    <row r="49" spans="1:13" x14ac:dyDescent="0.25">
      <c r="A49" s="2">
        <v>10030</v>
      </c>
      <c r="B49" s="1" t="s">
        <v>209</v>
      </c>
      <c r="C49" s="1" t="s">
        <v>210</v>
      </c>
      <c r="D49" s="1" t="s">
        <v>211</v>
      </c>
      <c r="E49" s="1" t="s">
        <v>13</v>
      </c>
      <c r="F49" s="1" t="s">
        <v>212</v>
      </c>
      <c r="G49" s="1">
        <v>10</v>
      </c>
      <c r="H49" s="1" t="s">
        <v>29</v>
      </c>
      <c r="I49" s="1">
        <v>0</v>
      </c>
      <c r="J49" s="1" t="s">
        <v>23</v>
      </c>
      <c r="K49" s="1">
        <v>66956</v>
      </c>
      <c r="L49" s="1" t="s">
        <v>24</v>
      </c>
      <c r="M49" s="3" t="s">
        <v>18</v>
      </c>
    </row>
    <row r="50" spans="1:13" x14ac:dyDescent="0.25">
      <c r="A50" s="2">
        <v>10031</v>
      </c>
      <c r="B50" s="1" t="s">
        <v>213</v>
      </c>
      <c r="C50" s="1" t="s">
        <v>214</v>
      </c>
      <c r="D50" s="1" t="s">
        <v>215</v>
      </c>
      <c r="E50" s="1" t="s">
        <v>13</v>
      </c>
      <c r="F50" s="1" t="s">
        <v>216</v>
      </c>
      <c r="G50" s="1">
        <v>2</v>
      </c>
      <c r="H50" s="1" t="s">
        <v>15</v>
      </c>
      <c r="I50" s="1">
        <v>1</v>
      </c>
      <c r="J50" s="1" t="s">
        <v>217</v>
      </c>
      <c r="K50" s="1">
        <v>40000</v>
      </c>
      <c r="L50" s="1" t="s">
        <v>17</v>
      </c>
      <c r="M50" s="3" t="s">
        <v>18</v>
      </c>
    </row>
    <row r="51" spans="1:13" x14ac:dyDescent="0.25">
      <c r="A51" s="2">
        <v>239838</v>
      </c>
      <c r="B51" s="1" t="s">
        <v>218</v>
      </c>
      <c r="C51" s="1" t="s">
        <v>219</v>
      </c>
      <c r="D51" s="1" t="s">
        <v>220</v>
      </c>
      <c r="E51" s="1" t="s">
        <v>13</v>
      </c>
      <c r="F51" s="1" t="s">
        <v>221</v>
      </c>
      <c r="G51" s="1">
        <v>3</v>
      </c>
      <c r="H51" s="1" t="s">
        <v>29</v>
      </c>
      <c r="I51" s="1">
        <v>0</v>
      </c>
      <c r="J51" s="1" t="s">
        <v>23</v>
      </c>
      <c r="K51" s="1">
        <v>57715</v>
      </c>
      <c r="L51" s="1" t="s">
        <v>24</v>
      </c>
      <c r="M51" s="3" t="s">
        <v>55</v>
      </c>
    </row>
    <row r="52" spans="1:13" x14ac:dyDescent="0.25">
      <c r="A52" s="2">
        <v>10032</v>
      </c>
      <c r="B52" s="1" t="s">
        <v>222</v>
      </c>
      <c r="C52" s="1" t="s">
        <v>223</v>
      </c>
      <c r="D52" s="1" t="s">
        <v>191</v>
      </c>
      <c r="E52" s="1" t="s">
        <v>33</v>
      </c>
      <c r="F52" s="1" t="s">
        <v>224</v>
      </c>
      <c r="G52" s="1">
        <v>9</v>
      </c>
      <c r="H52" s="1" t="s">
        <v>15</v>
      </c>
      <c r="I52" s="1">
        <v>0</v>
      </c>
      <c r="J52" s="1" t="s">
        <v>23</v>
      </c>
      <c r="K52" s="1">
        <v>48426</v>
      </c>
      <c r="L52" s="1" t="s">
        <v>24</v>
      </c>
      <c r="M52" s="3" t="s">
        <v>18</v>
      </c>
    </row>
    <row r="53" spans="1:13" x14ac:dyDescent="0.25">
      <c r="A53" s="2">
        <v>10033</v>
      </c>
      <c r="B53" s="1" t="s">
        <v>225</v>
      </c>
      <c r="C53" s="1" t="s">
        <v>226</v>
      </c>
      <c r="D53" s="1" t="s">
        <v>227</v>
      </c>
      <c r="E53" s="1" t="s">
        <v>13</v>
      </c>
      <c r="F53" s="1" t="s">
        <v>228</v>
      </c>
      <c r="G53" s="1">
        <v>9</v>
      </c>
      <c r="H53" s="1" t="s">
        <v>29</v>
      </c>
      <c r="I53" s="1">
        <v>0</v>
      </c>
      <c r="J53" s="1" t="s">
        <v>23</v>
      </c>
      <c r="K53" s="1">
        <v>51258</v>
      </c>
      <c r="L53" s="1" t="s">
        <v>71</v>
      </c>
      <c r="M53" s="3" t="s">
        <v>156</v>
      </c>
    </row>
    <row r="54" spans="1:13" x14ac:dyDescent="0.25">
      <c r="A54" s="2">
        <v>240129</v>
      </c>
      <c r="B54" s="1" t="s">
        <v>229</v>
      </c>
      <c r="C54" s="1" t="s">
        <v>230</v>
      </c>
      <c r="D54" s="1" t="s">
        <v>231</v>
      </c>
      <c r="E54" s="1" t="s">
        <v>13</v>
      </c>
      <c r="F54" s="1" t="s">
        <v>232</v>
      </c>
      <c r="G54" s="1">
        <v>10</v>
      </c>
      <c r="H54" s="1" t="s">
        <v>15</v>
      </c>
      <c r="I54" s="1">
        <v>0</v>
      </c>
      <c r="J54" s="1" t="s">
        <v>23</v>
      </c>
      <c r="K54" s="1">
        <v>43548</v>
      </c>
      <c r="L54" s="1" t="s">
        <v>71</v>
      </c>
      <c r="M54" s="3" t="s">
        <v>156</v>
      </c>
    </row>
    <row r="55" spans="1:13" x14ac:dyDescent="0.25">
      <c r="A55" s="2">
        <v>10034</v>
      </c>
      <c r="B55" s="1" t="s">
        <v>233</v>
      </c>
      <c r="C55" s="1" t="s">
        <v>234</v>
      </c>
      <c r="D55" s="1" t="s">
        <v>235</v>
      </c>
      <c r="E55" s="1" t="s">
        <v>13</v>
      </c>
      <c r="F55" s="1" t="s">
        <v>236</v>
      </c>
      <c r="G55" s="1">
        <v>8</v>
      </c>
      <c r="H55" s="1" t="s">
        <v>15</v>
      </c>
      <c r="I55" s="1">
        <v>0</v>
      </c>
      <c r="J55" s="1" t="s">
        <v>23</v>
      </c>
      <c r="K55" s="1">
        <v>47561</v>
      </c>
      <c r="L55" s="1" t="s">
        <v>40</v>
      </c>
      <c r="M55" s="3" t="s">
        <v>41</v>
      </c>
    </row>
    <row r="56" spans="1:13" x14ac:dyDescent="0.25">
      <c r="A56" s="2">
        <v>10035</v>
      </c>
      <c r="B56" s="1" t="s">
        <v>237</v>
      </c>
      <c r="C56" s="1" t="s">
        <v>238</v>
      </c>
      <c r="D56" s="1" t="s">
        <v>239</v>
      </c>
      <c r="E56" s="1" t="s">
        <v>13</v>
      </c>
      <c r="F56" s="1" t="s">
        <v>240</v>
      </c>
      <c r="G56" s="1">
        <v>6</v>
      </c>
      <c r="H56" s="1" t="s">
        <v>35</v>
      </c>
      <c r="I56" s="1">
        <v>0</v>
      </c>
      <c r="J56" s="1" t="s">
        <v>23</v>
      </c>
      <c r="K56" s="1">
        <v>41538</v>
      </c>
      <c r="L56" s="1" t="s">
        <v>24</v>
      </c>
      <c r="M56" s="3" t="s">
        <v>18</v>
      </c>
    </row>
    <row r="57" spans="1:13" x14ac:dyDescent="0.25">
      <c r="A57" s="2">
        <v>205246</v>
      </c>
      <c r="B57" s="1" t="s">
        <v>241</v>
      </c>
      <c r="C57" s="1" t="s">
        <v>242</v>
      </c>
      <c r="D57" s="1" t="s">
        <v>243</v>
      </c>
      <c r="E57" s="1" t="s">
        <v>33</v>
      </c>
      <c r="F57" s="1" t="s">
        <v>244</v>
      </c>
      <c r="G57" s="1">
        <v>8</v>
      </c>
      <c r="H57" s="1" t="s">
        <v>35</v>
      </c>
      <c r="I57" s="1">
        <v>0</v>
      </c>
      <c r="J57" s="1" t="s">
        <v>23</v>
      </c>
      <c r="K57" s="1">
        <v>80252</v>
      </c>
      <c r="L57" s="1" t="s">
        <v>40</v>
      </c>
      <c r="M57" s="3" t="s">
        <v>102</v>
      </c>
    </row>
    <row r="58" spans="1:13" x14ac:dyDescent="0.25">
      <c r="A58" s="2">
        <v>10036</v>
      </c>
      <c r="B58" s="1" t="s">
        <v>245</v>
      </c>
      <c r="C58" s="1" t="s">
        <v>246</v>
      </c>
      <c r="D58" s="1" t="s">
        <v>247</v>
      </c>
      <c r="E58" s="1" t="s">
        <v>13</v>
      </c>
      <c r="F58" s="1" t="s">
        <v>248</v>
      </c>
      <c r="G58" s="1">
        <v>5</v>
      </c>
      <c r="H58" s="1" t="s">
        <v>15</v>
      </c>
      <c r="I58" s="1">
        <v>0</v>
      </c>
      <c r="J58" s="1" t="s">
        <v>23</v>
      </c>
      <c r="K58" s="1">
        <v>42819</v>
      </c>
      <c r="L58" s="1" t="s">
        <v>46</v>
      </c>
      <c r="M58" s="3" t="s">
        <v>102</v>
      </c>
    </row>
    <row r="59" spans="1:13" x14ac:dyDescent="0.25">
      <c r="A59" s="2">
        <v>10037</v>
      </c>
      <c r="B59" s="1" t="s">
        <v>249</v>
      </c>
      <c r="C59" s="1" t="s">
        <v>250</v>
      </c>
      <c r="D59" s="1" t="s">
        <v>251</v>
      </c>
      <c r="E59" s="1" t="s">
        <v>13</v>
      </c>
      <c r="F59" s="1" t="s">
        <v>252</v>
      </c>
      <c r="G59" s="1">
        <v>4</v>
      </c>
      <c r="H59" s="1" t="s">
        <v>29</v>
      </c>
      <c r="I59" s="1">
        <v>0</v>
      </c>
      <c r="J59" s="1" t="s">
        <v>23</v>
      </c>
      <c r="K59" s="1">
        <v>40000</v>
      </c>
      <c r="L59" s="1" t="s">
        <v>17</v>
      </c>
      <c r="M59" s="3" t="s">
        <v>18</v>
      </c>
    </row>
    <row r="60" spans="1:13" x14ac:dyDescent="0.25">
      <c r="A60" s="2">
        <v>10038</v>
      </c>
      <c r="B60" s="1" t="s">
        <v>253</v>
      </c>
      <c r="C60" s="1" t="s">
        <v>254</v>
      </c>
      <c r="D60" s="1" t="s">
        <v>255</v>
      </c>
      <c r="E60" s="1" t="s">
        <v>13</v>
      </c>
      <c r="F60" s="1" t="s">
        <v>256</v>
      </c>
      <c r="G60" s="1">
        <v>5</v>
      </c>
      <c r="H60" s="1" t="s">
        <v>29</v>
      </c>
      <c r="I60" s="1">
        <v>0</v>
      </c>
      <c r="J60" s="1" t="s">
        <v>23</v>
      </c>
      <c r="K60" s="1">
        <v>40000</v>
      </c>
      <c r="L60" s="1" t="s">
        <v>89</v>
      </c>
      <c r="M60" s="3" t="s">
        <v>41</v>
      </c>
    </row>
    <row r="61" spans="1:13" x14ac:dyDescent="0.25">
      <c r="A61" s="2">
        <v>10039</v>
      </c>
      <c r="B61" s="1" t="s">
        <v>257</v>
      </c>
      <c r="C61" s="1" t="s">
        <v>258</v>
      </c>
      <c r="D61" s="1" t="s">
        <v>259</v>
      </c>
      <c r="E61" s="1" t="s">
        <v>13</v>
      </c>
      <c r="F61" s="1" t="s">
        <v>260</v>
      </c>
      <c r="G61" s="1">
        <v>1</v>
      </c>
      <c r="H61" s="1" t="s">
        <v>35</v>
      </c>
      <c r="I61" s="1">
        <v>0</v>
      </c>
      <c r="J61" s="1" t="s">
        <v>23</v>
      </c>
      <c r="K61" s="1">
        <v>40000</v>
      </c>
      <c r="L61" s="1" t="s">
        <v>46</v>
      </c>
      <c r="M61" s="3" t="s">
        <v>41</v>
      </c>
    </row>
    <row r="62" spans="1:13" x14ac:dyDescent="0.25">
      <c r="A62" s="2">
        <v>424270</v>
      </c>
      <c r="B62" s="1" t="s">
        <v>261</v>
      </c>
      <c r="C62" s="1" t="s">
        <v>262</v>
      </c>
      <c r="D62" s="1" t="s">
        <v>263</v>
      </c>
      <c r="E62" s="1" t="s">
        <v>33</v>
      </c>
      <c r="F62" s="1" t="s">
        <v>264</v>
      </c>
      <c r="G62" s="1">
        <v>8</v>
      </c>
      <c r="H62" s="1" t="s">
        <v>29</v>
      </c>
      <c r="I62" s="1">
        <v>0</v>
      </c>
      <c r="J62" s="1" t="s">
        <v>23</v>
      </c>
      <c r="K62" s="1">
        <v>60678</v>
      </c>
      <c r="L62" s="1" t="s">
        <v>108</v>
      </c>
      <c r="M62" s="3" t="s">
        <v>41</v>
      </c>
    </row>
    <row r="63" spans="1:13" x14ac:dyDescent="0.25">
      <c r="A63" s="2">
        <v>424270</v>
      </c>
      <c r="B63" s="1" t="s">
        <v>261</v>
      </c>
      <c r="C63" s="1" t="s">
        <v>262</v>
      </c>
      <c r="D63" s="1" t="s">
        <v>263</v>
      </c>
      <c r="E63" s="1" t="s">
        <v>33</v>
      </c>
      <c r="F63" s="1" t="s">
        <v>264</v>
      </c>
      <c r="G63" s="1">
        <v>8</v>
      </c>
      <c r="H63" s="1" t="s">
        <v>29</v>
      </c>
      <c r="I63" s="1">
        <v>0</v>
      </c>
      <c r="J63" s="1" t="s">
        <v>23</v>
      </c>
      <c r="K63" s="1">
        <v>60678</v>
      </c>
      <c r="L63" s="1" t="s">
        <v>40</v>
      </c>
      <c r="M63" s="3" t="s">
        <v>41</v>
      </c>
    </row>
    <row r="64" spans="1:13" x14ac:dyDescent="0.25">
      <c r="A64" s="2">
        <v>10040</v>
      </c>
      <c r="B64" s="1" t="s">
        <v>265</v>
      </c>
      <c r="C64" s="1" t="s">
        <v>266</v>
      </c>
      <c r="D64" s="1" t="s">
        <v>267</v>
      </c>
      <c r="E64" s="1" t="s">
        <v>33</v>
      </c>
      <c r="F64" s="1" t="s">
        <v>129</v>
      </c>
      <c r="G64" s="1">
        <v>6</v>
      </c>
      <c r="H64" s="1" t="s">
        <v>29</v>
      </c>
      <c r="I64" s="1">
        <v>0</v>
      </c>
      <c r="J64" s="1" t="s">
        <v>23</v>
      </c>
      <c r="K64" s="1">
        <v>52153</v>
      </c>
      <c r="L64" s="1" t="s">
        <v>17</v>
      </c>
      <c r="M64" s="3" t="s">
        <v>18</v>
      </c>
    </row>
    <row r="65" spans="1:13" x14ac:dyDescent="0.25">
      <c r="A65" s="2">
        <v>10040</v>
      </c>
      <c r="B65" s="1" t="s">
        <v>265</v>
      </c>
      <c r="C65" s="1" t="s">
        <v>266</v>
      </c>
      <c r="D65" s="1" t="s">
        <v>267</v>
      </c>
      <c r="E65" s="1" t="s">
        <v>33</v>
      </c>
      <c r="F65" s="1" t="s">
        <v>129</v>
      </c>
      <c r="G65" s="1">
        <v>6</v>
      </c>
      <c r="H65" s="1" t="s">
        <v>29</v>
      </c>
      <c r="I65" s="1">
        <v>0</v>
      </c>
      <c r="J65" s="1" t="s">
        <v>23</v>
      </c>
      <c r="K65" s="1">
        <v>52153</v>
      </c>
      <c r="L65" s="1" t="s">
        <v>61</v>
      </c>
      <c r="M65" s="3" t="s">
        <v>18</v>
      </c>
    </row>
    <row r="66" spans="1:13" x14ac:dyDescent="0.25">
      <c r="A66" s="2">
        <v>71530</v>
      </c>
      <c r="B66" s="1" t="s">
        <v>268</v>
      </c>
      <c r="C66" s="1" t="s">
        <v>206</v>
      </c>
      <c r="D66" s="1" t="s">
        <v>269</v>
      </c>
      <c r="E66" s="1" t="s">
        <v>13</v>
      </c>
      <c r="F66" s="1" t="s">
        <v>270</v>
      </c>
      <c r="G66" s="1">
        <v>5</v>
      </c>
      <c r="H66" s="1" t="s">
        <v>29</v>
      </c>
      <c r="I66" s="1">
        <v>0</v>
      </c>
      <c r="J66" s="1" t="s">
        <v>23</v>
      </c>
      <c r="K66" s="1">
        <v>69148</v>
      </c>
      <c r="L66" s="1" t="s">
        <v>17</v>
      </c>
      <c r="M66" s="3" t="s">
        <v>18</v>
      </c>
    </row>
    <row r="67" spans="1:13" x14ac:dyDescent="0.25">
      <c r="A67" s="2">
        <v>10041</v>
      </c>
      <c r="B67" s="1" t="s">
        <v>271</v>
      </c>
      <c r="C67" s="1" t="s">
        <v>272</v>
      </c>
      <c r="D67" s="1" t="s">
        <v>273</v>
      </c>
      <c r="E67" s="1" t="s">
        <v>33</v>
      </c>
      <c r="F67" s="1" t="s">
        <v>274</v>
      </c>
      <c r="G67" s="1">
        <v>7</v>
      </c>
      <c r="H67" s="1" t="s">
        <v>29</v>
      </c>
      <c r="I67" s="1">
        <v>0</v>
      </c>
      <c r="J67" s="1" t="s">
        <v>23</v>
      </c>
      <c r="K67" s="1">
        <v>56893</v>
      </c>
      <c r="L67" s="1" t="s">
        <v>40</v>
      </c>
      <c r="M67" s="3" t="s">
        <v>41</v>
      </c>
    </row>
    <row r="68" spans="1:13" x14ac:dyDescent="0.25">
      <c r="A68" s="2">
        <v>10042</v>
      </c>
      <c r="B68" s="1" t="s">
        <v>275</v>
      </c>
      <c r="C68" s="1" t="s">
        <v>276</v>
      </c>
      <c r="D68" s="1" t="s">
        <v>277</v>
      </c>
      <c r="E68" s="1" t="s">
        <v>33</v>
      </c>
      <c r="F68" s="1" t="s">
        <v>278</v>
      </c>
      <c r="G68" s="1">
        <v>4</v>
      </c>
      <c r="H68" s="1" t="s">
        <v>35</v>
      </c>
      <c r="I68" s="1">
        <v>0</v>
      </c>
      <c r="J68" s="1" t="s">
        <v>23</v>
      </c>
      <c r="K68" s="1">
        <v>81662</v>
      </c>
      <c r="L68" s="1" t="s">
        <v>108</v>
      </c>
      <c r="M68" s="3" t="s">
        <v>41</v>
      </c>
    </row>
    <row r="69" spans="1:13" x14ac:dyDescent="0.25">
      <c r="A69" s="2">
        <v>427958</v>
      </c>
      <c r="B69" s="1" t="s">
        <v>279</v>
      </c>
      <c r="C69" s="1" t="s">
        <v>280</v>
      </c>
      <c r="D69" s="1" t="s">
        <v>281</v>
      </c>
      <c r="E69" s="1" t="s">
        <v>33</v>
      </c>
      <c r="F69" s="1" t="s">
        <v>282</v>
      </c>
      <c r="G69" s="1">
        <v>10</v>
      </c>
      <c r="H69" s="1" t="s">
        <v>15</v>
      </c>
      <c r="I69" s="1">
        <v>0</v>
      </c>
      <c r="J69" s="1" t="s">
        <v>23</v>
      </c>
      <c r="K69" s="1">
        <v>63377</v>
      </c>
      <c r="L69" s="1" t="s">
        <v>125</v>
      </c>
      <c r="M69" s="3" t="s">
        <v>41</v>
      </c>
    </row>
    <row r="70" spans="1:13" x14ac:dyDescent="0.25">
      <c r="A70" s="2">
        <v>10043</v>
      </c>
      <c r="B70" s="1" t="s">
        <v>283</v>
      </c>
      <c r="C70" s="1" t="s">
        <v>284</v>
      </c>
      <c r="D70" s="1" t="s">
        <v>285</v>
      </c>
      <c r="E70" s="1" t="s">
        <v>13</v>
      </c>
      <c r="F70" s="1" t="s">
        <v>286</v>
      </c>
      <c r="G70" s="1">
        <v>6</v>
      </c>
      <c r="H70" s="1" t="s">
        <v>15</v>
      </c>
      <c r="I70" s="1">
        <v>0</v>
      </c>
      <c r="J70" s="1" t="s">
        <v>23</v>
      </c>
      <c r="K70" s="1">
        <v>49324</v>
      </c>
      <c r="L70" s="1" t="s">
        <v>17</v>
      </c>
      <c r="M70" s="3" t="s">
        <v>18</v>
      </c>
    </row>
    <row r="71" spans="1:13" x14ac:dyDescent="0.25">
      <c r="A71" s="2">
        <v>10044</v>
      </c>
      <c r="B71" s="1" t="s">
        <v>287</v>
      </c>
      <c r="C71" s="1" t="s">
        <v>288</v>
      </c>
      <c r="D71" s="1" t="s">
        <v>289</v>
      </c>
      <c r="E71" s="1" t="s">
        <v>33</v>
      </c>
      <c r="F71" s="1" t="s">
        <v>290</v>
      </c>
      <c r="G71" s="1">
        <v>1</v>
      </c>
      <c r="H71" s="1" t="s">
        <v>15</v>
      </c>
      <c r="I71" s="1">
        <v>0</v>
      </c>
      <c r="J71" s="1" t="s">
        <v>23</v>
      </c>
      <c r="K71" s="1">
        <v>40919</v>
      </c>
      <c r="L71" s="1" t="s">
        <v>24</v>
      </c>
      <c r="M71" s="3" t="s">
        <v>156</v>
      </c>
    </row>
    <row r="72" spans="1:13" x14ac:dyDescent="0.25">
      <c r="A72" s="2">
        <v>280408</v>
      </c>
      <c r="B72" s="1" t="s">
        <v>291</v>
      </c>
      <c r="C72" s="1" t="s">
        <v>292</v>
      </c>
      <c r="D72" s="1" t="s">
        <v>293</v>
      </c>
      <c r="E72" s="1" t="s">
        <v>13</v>
      </c>
      <c r="F72" s="1" t="s">
        <v>294</v>
      </c>
      <c r="G72" s="1">
        <v>7</v>
      </c>
      <c r="H72" s="1" t="s">
        <v>29</v>
      </c>
      <c r="I72" s="1">
        <v>0</v>
      </c>
      <c r="J72" s="1" t="s">
        <v>23</v>
      </c>
      <c r="K72" s="1">
        <v>75963</v>
      </c>
      <c r="L72" s="1" t="s">
        <v>40</v>
      </c>
      <c r="M72" s="3" t="s">
        <v>41</v>
      </c>
    </row>
    <row r="73" spans="1:13" x14ac:dyDescent="0.25">
      <c r="A73" s="2">
        <v>10045</v>
      </c>
      <c r="B73" s="1" t="s">
        <v>295</v>
      </c>
      <c r="C73" s="1" t="s">
        <v>296</v>
      </c>
      <c r="D73" s="1" t="s">
        <v>297</v>
      </c>
      <c r="E73" s="1" t="s">
        <v>13</v>
      </c>
      <c r="F73" s="1" t="s">
        <v>298</v>
      </c>
      <c r="G73" s="1">
        <v>5</v>
      </c>
      <c r="H73" s="1" t="s">
        <v>15</v>
      </c>
      <c r="I73" s="1">
        <v>0</v>
      </c>
      <c r="J73" s="1" t="s">
        <v>23</v>
      </c>
      <c r="K73" s="1">
        <v>41971</v>
      </c>
      <c r="L73" s="1" t="s">
        <v>24</v>
      </c>
      <c r="M73" s="3" t="s">
        <v>55</v>
      </c>
    </row>
    <row r="74" spans="1:13" x14ac:dyDescent="0.25">
      <c r="A74" s="2">
        <v>10046</v>
      </c>
      <c r="B74" s="1" t="s">
        <v>299</v>
      </c>
      <c r="C74" s="1" t="s">
        <v>300</v>
      </c>
      <c r="D74" s="1" t="s">
        <v>301</v>
      </c>
      <c r="E74" s="1" t="s">
        <v>13</v>
      </c>
      <c r="F74" s="1" t="s">
        <v>302</v>
      </c>
      <c r="G74" s="1">
        <v>1</v>
      </c>
      <c r="H74" s="1" t="s">
        <v>35</v>
      </c>
      <c r="I74" s="1">
        <v>0</v>
      </c>
      <c r="J74" s="1" t="s">
        <v>23</v>
      </c>
      <c r="K74" s="1">
        <v>40000</v>
      </c>
      <c r="L74" s="1" t="s">
        <v>61</v>
      </c>
      <c r="M74" s="3" t="s">
        <v>41</v>
      </c>
    </row>
    <row r="75" spans="1:13" x14ac:dyDescent="0.25">
      <c r="A75" s="2">
        <v>104639</v>
      </c>
      <c r="B75" s="1" t="s">
        <v>303</v>
      </c>
      <c r="C75" s="1" t="s">
        <v>304</v>
      </c>
      <c r="D75" s="1" t="s">
        <v>305</v>
      </c>
      <c r="E75" s="1" t="s">
        <v>33</v>
      </c>
      <c r="F75" s="1" t="s">
        <v>306</v>
      </c>
      <c r="G75" s="1">
        <v>6</v>
      </c>
      <c r="H75" s="1" t="s">
        <v>35</v>
      </c>
      <c r="I75" s="1">
        <v>0</v>
      </c>
      <c r="J75" s="1" t="s">
        <v>23</v>
      </c>
      <c r="K75" s="1">
        <v>40000</v>
      </c>
      <c r="L75" s="1" t="s">
        <v>17</v>
      </c>
      <c r="M75" s="3" t="s">
        <v>18</v>
      </c>
    </row>
    <row r="76" spans="1:13" x14ac:dyDescent="0.25">
      <c r="A76" s="2">
        <v>104639</v>
      </c>
      <c r="B76" s="1" t="s">
        <v>303</v>
      </c>
      <c r="C76" s="1" t="s">
        <v>304</v>
      </c>
      <c r="D76" s="1" t="s">
        <v>305</v>
      </c>
      <c r="E76" s="1" t="s">
        <v>33</v>
      </c>
      <c r="F76" s="1" t="s">
        <v>306</v>
      </c>
      <c r="G76" s="1">
        <v>6</v>
      </c>
      <c r="H76" s="1" t="s">
        <v>35</v>
      </c>
      <c r="I76" s="1">
        <v>0</v>
      </c>
      <c r="J76" s="1" t="s">
        <v>23</v>
      </c>
      <c r="K76" s="1">
        <v>40000</v>
      </c>
      <c r="L76" s="1" t="s">
        <v>61</v>
      </c>
      <c r="M76" s="3" t="s">
        <v>18</v>
      </c>
    </row>
    <row r="77" spans="1:13" x14ac:dyDescent="0.25">
      <c r="A77" s="2">
        <v>10047</v>
      </c>
      <c r="B77" s="1" t="s">
        <v>307</v>
      </c>
      <c r="C77" s="1" t="s">
        <v>308</v>
      </c>
      <c r="D77" s="1" t="s">
        <v>309</v>
      </c>
      <c r="E77" s="1" t="s">
        <v>13</v>
      </c>
      <c r="F77" s="1" t="s">
        <v>270</v>
      </c>
      <c r="G77" s="1">
        <v>10</v>
      </c>
      <c r="H77" s="1" t="s">
        <v>15</v>
      </c>
      <c r="I77" s="1">
        <v>1</v>
      </c>
      <c r="J77" s="1" t="s">
        <v>310</v>
      </c>
      <c r="K77" s="1">
        <v>54982</v>
      </c>
      <c r="L77" s="1" t="s">
        <v>24</v>
      </c>
      <c r="M77" s="3" t="s">
        <v>18</v>
      </c>
    </row>
    <row r="78" spans="1:13" x14ac:dyDescent="0.25">
      <c r="A78" s="2">
        <v>10048</v>
      </c>
      <c r="B78" s="1" t="s">
        <v>311</v>
      </c>
      <c r="C78" s="1" t="s">
        <v>312</v>
      </c>
      <c r="D78" s="1" t="s">
        <v>313</v>
      </c>
      <c r="E78" s="1" t="s">
        <v>13</v>
      </c>
      <c r="F78" s="1" t="s">
        <v>314</v>
      </c>
      <c r="G78" s="1">
        <v>9</v>
      </c>
      <c r="H78" s="1" t="s">
        <v>35</v>
      </c>
      <c r="I78" s="1">
        <v>0</v>
      </c>
      <c r="J78" s="1" t="s">
        <v>23</v>
      </c>
      <c r="K78" s="1">
        <v>40000</v>
      </c>
      <c r="L78" s="1" t="s">
        <v>17</v>
      </c>
      <c r="M78" s="3" t="s">
        <v>55</v>
      </c>
    </row>
    <row r="79" spans="1:13" x14ac:dyDescent="0.25">
      <c r="A79" s="2">
        <v>214555</v>
      </c>
      <c r="B79" s="1" t="s">
        <v>315</v>
      </c>
      <c r="C79" s="1" t="s">
        <v>316</v>
      </c>
      <c r="D79" s="1" t="s">
        <v>317</v>
      </c>
      <c r="E79" s="1" t="s">
        <v>33</v>
      </c>
      <c r="F79" s="1" t="s">
        <v>318</v>
      </c>
      <c r="G79" s="1">
        <v>8</v>
      </c>
      <c r="H79" s="1" t="s">
        <v>29</v>
      </c>
      <c r="I79" s="1">
        <v>0</v>
      </c>
      <c r="J79" s="1" t="s">
        <v>23</v>
      </c>
      <c r="K79" s="1">
        <v>40000</v>
      </c>
      <c r="L79" s="1" t="s">
        <v>17</v>
      </c>
      <c r="M79" s="3" t="s">
        <v>18</v>
      </c>
    </row>
    <row r="80" spans="1:13" x14ac:dyDescent="0.25">
      <c r="A80" s="2">
        <v>10049</v>
      </c>
      <c r="B80" s="1" t="s">
        <v>319</v>
      </c>
      <c r="C80" s="1" t="s">
        <v>320</v>
      </c>
      <c r="D80" s="1" t="s">
        <v>321</v>
      </c>
      <c r="E80" s="1" t="s">
        <v>33</v>
      </c>
      <c r="F80" s="1" t="s">
        <v>322</v>
      </c>
      <c r="G80" s="1">
        <v>3</v>
      </c>
      <c r="H80" s="1" t="s">
        <v>35</v>
      </c>
      <c r="I80" s="1">
        <v>0</v>
      </c>
      <c r="J80" s="1" t="s">
        <v>23</v>
      </c>
      <c r="K80" s="1">
        <v>40000</v>
      </c>
      <c r="L80" s="1" t="s">
        <v>89</v>
      </c>
      <c r="M80" s="3" t="s">
        <v>41</v>
      </c>
    </row>
    <row r="81" spans="1:13" x14ac:dyDescent="0.25">
      <c r="A81" s="2">
        <v>10050</v>
      </c>
      <c r="B81" s="1" t="s">
        <v>323</v>
      </c>
      <c r="C81" s="1" t="s">
        <v>324</v>
      </c>
      <c r="D81" s="1" t="s">
        <v>325</v>
      </c>
      <c r="E81" s="1" t="s">
        <v>13</v>
      </c>
      <c r="F81" s="1" t="s">
        <v>326</v>
      </c>
      <c r="G81" s="1">
        <v>6</v>
      </c>
      <c r="H81" s="1" t="s">
        <v>15</v>
      </c>
      <c r="I81" s="1">
        <v>0</v>
      </c>
      <c r="J81" s="1" t="s">
        <v>23</v>
      </c>
      <c r="K81" s="1">
        <v>74366</v>
      </c>
      <c r="L81" s="1" t="s">
        <v>108</v>
      </c>
      <c r="M81" s="3" t="s">
        <v>41</v>
      </c>
    </row>
    <row r="82" spans="1:13" x14ac:dyDescent="0.25">
      <c r="A82" s="2">
        <v>10050</v>
      </c>
      <c r="B82" s="1" t="s">
        <v>323</v>
      </c>
      <c r="C82" s="1" t="s">
        <v>324</v>
      </c>
      <c r="D82" s="1" t="s">
        <v>325</v>
      </c>
      <c r="E82" s="1" t="s">
        <v>13</v>
      </c>
      <c r="F82" s="1" t="s">
        <v>326</v>
      </c>
      <c r="G82" s="1">
        <v>6</v>
      </c>
      <c r="H82" s="1" t="s">
        <v>15</v>
      </c>
      <c r="I82" s="1">
        <v>0</v>
      </c>
      <c r="J82" s="1" t="s">
        <v>23</v>
      </c>
      <c r="K82" s="1">
        <v>74366</v>
      </c>
      <c r="L82" s="1" t="s">
        <v>40</v>
      </c>
      <c r="M82" s="3" t="s">
        <v>41</v>
      </c>
    </row>
    <row r="83" spans="1:13" x14ac:dyDescent="0.25">
      <c r="A83" s="2">
        <v>229010</v>
      </c>
      <c r="B83" s="1" t="s">
        <v>327</v>
      </c>
      <c r="C83" s="1" t="s">
        <v>328</v>
      </c>
      <c r="D83" s="1" t="s">
        <v>329</v>
      </c>
      <c r="E83" s="1" t="s">
        <v>13</v>
      </c>
      <c r="F83" s="1" t="s">
        <v>330</v>
      </c>
      <c r="G83" s="1">
        <v>9</v>
      </c>
      <c r="H83" s="1" t="s">
        <v>35</v>
      </c>
      <c r="I83" s="1">
        <v>0</v>
      </c>
      <c r="J83" s="1" t="s">
        <v>23</v>
      </c>
      <c r="K83" s="1">
        <v>40000</v>
      </c>
      <c r="L83" s="1" t="s">
        <v>46</v>
      </c>
      <c r="M83" s="3" t="s">
        <v>41</v>
      </c>
    </row>
    <row r="84" spans="1:13" x14ac:dyDescent="0.25">
      <c r="A84" s="2">
        <v>10051</v>
      </c>
      <c r="B84" s="1" t="s">
        <v>331</v>
      </c>
      <c r="C84" s="1" t="s">
        <v>332</v>
      </c>
      <c r="D84" s="1" t="s">
        <v>333</v>
      </c>
      <c r="E84" s="1" t="s">
        <v>13</v>
      </c>
      <c r="F84" s="1" t="s">
        <v>334</v>
      </c>
      <c r="G84" s="1">
        <v>2</v>
      </c>
      <c r="H84" s="1" t="s">
        <v>29</v>
      </c>
      <c r="I84" s="1">
        <v>0</v>
      </c>
      <c r="J84" s="1" t="s">
        <v>23</v>
      </c>
      <c r="K84" s="1">
        <v>48817</v>
      </c>
      <c r="L84" s="1" t="s">
        <v>24</v>
      </c>
      <c r="M84" s="3" t="s">
        <v>18</v>
      </c>
    </row>
    <row r="85" spans="1:13" x14ac:dyDescent="0.25">
      <c r="A85" s="2">
        <v>35916</v>
      </c>
      <c r="B85" s="1" t="s">
        <v>335</v>
      </c>
      <c r="C85" s="1" t="s">
        <v>336</v>
      </c>
      <c r="D85" s="1" t="s">
        <v>337</v>
      </c>
      <c r="E85" s="1" t="s">
        <v>33</v>
      </c>
      <c r="F85" s="1" t="s">
        <v>338</v>
      </c>
      <c r="G85" s="1">
        <v>1</v>
      </c>
      <c r="H85" s="1" t="s">
        <v>29</v>
      </c>
      <c r="I85" s="1">
        <v>0</v>
      </c>
      <c r="J85" s="1" t="s">
        <v>23</v>
      </c>
      <c r="K85" s="1">
        <v>40000</v>
      </c>
      <c r="L85" s="1" t="s">
        <v>17</v>
      </c>
      <c r="M85" s="3" t="s">
        <v>18</v>
      </c>
    </row>
    <row r="86" spans="1:13" x14ac:dyDescent="0.25">
      <c r="A86" s="2">
        <v>10052</v>
      </c>
      <c r="B86" s="1" t="s">
        <v>339</v>
      </c>
      <c r="C86" s="1" t="s">
        <v>340</v>
      </c>
      <c r="D86" s="1" t="s">
        <v>341</v>
      </c>
      <c r="E86" s="1" t="s">
        <v>13</v>
      </c>
      <c r="F86" s="1" t="s">
        <v>342</v>
      </c>
      <c r="G86" s="1">
        <v>5</v>
      </c>
      <c r="H86" s="1" t="s">
        <v>35</v>
      </c>
      <c r="I86" s="1">
        <v>0</v>
      </c>
      <c r="J86" s="1" t="s">
        <v>23</v>
      </c>
      <c r="K86" s="1">
        <v>57212</v>
      </c>
      <c r="L86" s="1" t="s">
        <v>61</v>
      </c>
      <c r="M86" s="3" t="s">
        <v>41</v>
      </c>
    </row>
    <row r="87" spans="1:13" x14ac:dyDescent="0.25">
      <c r="A87" s="2">
        <v>10053</v>
      </c>
      <c r="B87" s="1" t="s">
        <v>343</v>
      </c>
      <c r="C87" s="1" t="s">
        <v>344</v>
      </c>
      <c r="D87" s="1" t="s">
        <v>345</v>
      </c>
      <c r="E87" s="1" t="s">
        <v>33</v>
      </c>
      <c r="F87" s="1" t="s">
        <v>346</v>
      </c>
      <c r="G87" s="1">
        <v>4</v>
      </c>
      <c r="H87" s="1" t="s">
        <v>35</v>
      </c>
      <c r="I87" s="1">
        <v>0</v>
      </c>
      <c r="J87" s="1" t="s">
        <v>23</v>
      </c>
      <c r="K87" s="1">
        <v>67854</v>
      </c>
      <c r="L87" s="1" t="s">
        <v>40</v>
      </c>
      <c r="M87" s="3" t="s">
        <v>102</v>
      </c>
    </row>
    <row r="88" spans="1:13" x14ac:dyDescent="0.25">
      <c r="A88" s="2">
        <v>61583</v>
      </c>
      <c r="B88" s="1" t="s">
        <v>347</v>
      </c>
      <c r="C88" s="1" t="s">
        <v>348</v>
      </c>
      <c r="D88" s="1" t="s">
        <v>349</v>
      </c>
      <c r="E88" s="1" t="s">
        <v>13</v>
      </c>
      <c r="F88" s="1" t="s">
        <v>350</v>
      </c>
      <c r="G88" s="1">
        <v>6</v>
      </c>
      <c r="H88" s="1" t="s">
        <v>35</v>
      </c>
      <c r="I88" s="1">
        <v>0</v>
      </c>
      <c r="J88" s="1" t="s">
        <v>23</v>
      </c>
      <c r="K88" s="1">
        <v>50801</v>
      </c>
      <c r="L88" s="1" t="s">
        <v>17</v>
      </c>
      <c r="M88" s="3" t="s">
        <v>18</v>
      </c>
    </row>
    <row r="89" spans="1:13" x14ac:dyDescent="0.25">
      <c r="A89" s="2">
        <v>10054</v>
      </c>
      <c r="B89" s="1" t="s">
        <v>351</v>
      </c>
      <c r="C89" s="1" t="s">
        <v>352</v>
      </c>
      <c r="D89" s="1" t="s">
        <v>353</v>
      </c>
      <c r="E89" s="1" t="s">
        <v>13</v>
      </c>
      <c r="F89" s="1" t="s">
        <v>354</v>
      </c>
      <c r="G89" s="1">
        <v>8</v>
      </c>
      <c r="H89" s="1" t="s">
        <v>29</v>
      </c>
      <c r="I89" s="1">
        <v>0</v>
      </c>
      <c r="J89" s="1" t="s">
        <v>23</v>
      </c>
      <c r="K89" s="1">
        <v>40000</v>
      </c>
      <c r="L89" s="1" t="s">
        <v>46</v>
      </c>
      <c r="M89" s="3" t="s">
        <v>41</v>
      </c>
    </row>
    <row r="90" spans="1:13" x14ac:dyDescent="0.25">
      <c r="A90" s="2">
        <v>10055</v>
      </c>
      <c r="B90" s="1" t="s">
        <v>355</v>
      </c>
      <c r="C90" s="1" t="s">
        <v>356</v>
      </c>
      <c r="D90" s="1" t="s">
        <v>325</v>
      </c>
      <c r="E90" s="1" t="s">
        <v>13</v>
      </c>
      <c r="F90" s="1" t="s">
        <v>357</v>
      </c>
      <c r="G90" s="1">
        <v>4</v>
      </c>
      <c r="H90" s="1" t="s">
        <v>29</v>
      </c>
      <c r="I90" s="1">
        <v>0</v>
      </c>
      <c r="J90" s="1" t="s">
        <v>23</v>
      </c>
      <c r="K90" s="1">
        <v>80024</v>
      </c>
      <c r="L90" s="1" t="s">
        <v>125</v>
      </c>
      <c r="M90" s="3" t="s">
        <v>41</v>
      </c>
    </row>
    <row r="91" spans="1:13" x14ac:dyDescent="0.25">
      <c r="A91" s="2">
        <v>67799</v>
      </c>
      <c r="B91" s="1" t="s">
        <v>358</v>
      </c>
      <c r="C91" s="1" t="s">
        <v>359</v>
      </c>
      <c r="D91" s="1" t="s">
        <v>360</v>
      </c>
      <c r="E91" s="1" t="s">
        <v>13</v>
      </c>
      <c r="F91" s="1" t="s">
        <v>361</v>
      </c>
      <c r="G91" s="1">
        <v>9</v>
      </c>
      <c r="H91" s="1" t="s">
        <v>35</v>
      </c>
      <c r="I91" s="1">
        <v>0</v>
      </c>
      <c r="J91" s="1" t="s">
        <v>23</v>
      </c>
      <c r="K91" s="1">
        <v>48111</v>
      </c>
      <c r="L91" s="1" t="s">
        <v>71</v>
      </c>
      <c r="M91" s="3" t="s">
        <v>55</v>
      </c>
    </row>
    <row r="92" spans="1:13" x14ac:dyDescent="0.25">
      <c r="A92" s="2">
        <v>10056</v>
      </c>
      <c r="B92" s="1" t="s">
        <v>362</v>
      </c>
      <c r="C92" s="1" t="s">
        <v>363</v>
      </c>
      <c r="D92" s="1" t="s">
        <v>364</v>
      </c>
      <c r="E92" s="1" t="s">
        <v>33</v>
      </c>
      <c r="F92" s="1" t="s">
        <v>365</v>
      </c>
      <c r="G92" s="1">
        <v>4</v>
      </c>
      <c r="H92" s="1" t="s">
        <v>15</v>
      </c>
      <c r="I92" s="1">
        <v>0</v>
      </c>
      <c r="J92" s="1" t="s">
        <v>23</v>
      </c>
      <c r="K92" s="1">
        <v>48857</v>
      </c>
      <c r="L92" s="1" t="s">
        <v>17</v>
      </c>
      <c r="M92" s="3" t="s">
        <v>18</v>
      </c>
    </row>
    <row r="93" spans="1:13" x14ac:dyDescent="0.25">
      <c r="A93" s="2">
        <v>10057</v>
      </c>
      <c r="B93" s="1" t="s">
        <v>366</v>
      </c>
      <c r="C93" s="1" t="s">
        <v>367</v>
      </c>
      <c r="D93" s="1" t="s">
        <v>368</v>
      </c>
      <c r="E93" s="1" t="s">
        <v>33</v>
      </c>
      <c r="F93" s="1" t="s">
        <v>369</v>
      </c>
      <c r="G93" s="1">
        <v>9</v>
      </c>
      <c r="H93" s="1" t="s">
        <v>370</v>
      </c>
      <c r="I93" s="1">
        <v>0</v>
      </c>
      <c r="J93" s="1" t="s">
        <v>23</v>
      </c>
      <c r="K93" s="1">
        <v>49616</v>
      </c>
      <c r="L93" s="1" t="s">
        <v>17</v>
      </c>
      <c r="M93" s="3" t="s">
        <v>18</v>
      </c>
    </row>
    <row r="94" spans="1:13" x14ac:dyDescent="0.25">
      <c r="A94" s="2">
        <v>37061</v>
      </c>
      <c r="B94" s="1" t="s">
        <v>371</v>
      </c>
      <c r="C94" s="1" t="s">
        <v>372</v>
      </c>
      <c r="D94" s="1" t="s">
        <v>203</v>
      </c>
      <c r="E94" s="1" t="s">
        <v>33</v>
      </c>
      <c r="F94" s="1" t="s">
        <v>373</v>
      </c>
      <c r="G94" s="1">
        <v>10</v>
      </c>
      <c r="H94" s="1" t="s">
        <v>15</v>
      </c>
      <c r="I94" s="1">
        <v>0</v>
      </c>
      <c r="J94" s="1" t="s">
        <v>23</v>
      </c>
      <c r="K94" s="1">
        <v>40000</v>
      </c>
      <c r="L94" s="1" t="s">
        <v>46</v>
      </c>
      <c r="M94" s="3" t="s">
        <v>41</v>
      </c>
    </row>
    <row r="95" spans="1:13" x14ac:dyDescent="0.25">
      <c r="A95" s="2">
        <v>10058</v>
      </c>
      <c r="B95" s="1" t="s">
        <v>374</v>
      </c>
      <c r="C95" s="1" t="s">
        <v>375</v>
      </c>
      <c r="D95" s="1" t="s">
        <v>376</v>
      </c>
      <c r="E95" s="1" t="s">
        <v>13</v>
      </c>
      <c r="F95" s="1" t="s">
        <v>377</v>
      </c>
      <c r="G95" s="1">
        <v>7</v>
      </c>
      <c r="H95" s="1" t="s">
        <v>29</v>
      </c>
      <c r="I95" s="1">
        <v>0</v>
      </c>
      <c r="J95" s="1" t="s">
        <v>23</v>
      </c>
      <c r="K95" s="1">
        <v>52787</v>
      </c>
      <c r="L95" s="1" t="s">
        <v>125</v>
      </c>
      <c r="M95" s="3" t="s">
        <v>102</v>
      </c>
    </row>
    <row r="96" spans="1:13" x14ac:dyDescent="0.25">
      <c r="A96" s="2">
        <v>10059</v>
      </c>
      <c r="B96" s="1" t="s">
        <v>378</v>
      </c>
      <c r="C96" s="1" t="s">
        <v>258</v>
      </c>
      <c r="D96" s="1" t="s">
        <v>269</v>
      </c>
      <c r="E96" s="1" t="s">
        <v>33</v>
      </c>
      <c r="F96" s="1" t="s">
        <v>379</v>
      </c>
      <c r="G96" s="1">
        <v>2</v>
      </c>
      <c r="H96" s="1" t="s">
        <v>15</v>
      </c>
      <c r="I96" s="1">
        <v>0</v>
      </c>
      <c r="J96" s="1" t="s">
        <v>23</v>
      </c>
      <c r="K96" s="1">
        <v>71218</v>
      </c>
      <c r="L96" s="1" t="s">
        <v>108</v>
      </c>
      <c r="M96" s="3" t="s">
        <v>102</v>
      </c>
    </row>
    <row r="97" spans="1:13" x14ac:dyDescent="0.25">
      <c r="A97" s="2">
        <v>411412</v>
      </c>
      <c r="B97" s="1" t="s">
        <v>380</v>
      </c>
      <c r="C97" s="1" t="s">
        <v>381</v>
      </c>
      <c r="D97" s="1" t="s">
        <v>382</v>
      </c>
      <c r="E97" s="1" t="s">
        <v>13</v>
      </c>
      <c r="F97" s="1" t="s">
        <v>383</v>
      </c>
      <c r="G97" s="1">
        <v>2</v>
      </c>
      <c r="H97" s="1" t="s">
        <v>29</v>
      </c>
      <c r="I97" s="1">
        <v>0</v>
      </c>
      <c r="J97" s="1" t="s">
        <v>23</v>
      </c>
      <c r="K97" s="1">
        <v>42348</v>
      </c>
      <c r="L97" s="1" t="s">
        <v>24</v>
      </c>
      <c r="M97" s="3" t="s">
        <v>18</v>
      </c>
    </row>
    <row r="98" spans="1:13" x14ac:dyDescent="0.25">
      <c r="A98" s="2">
        <v>10060</v>
      </c>
      <c r="B98" s="1" t="s">
        <v>384</v>
      </c>
      <c r="C98" s="1" t="s">
        <v>385</v>
      </c>
      <c r="D98" s="1" t="s">
        <v>386</v>
      </c>
      <c r="E98" s="1" t="s">
        <v>13</v>
      </c>
      <c r="F98" s="1" t="s">
        <v>387</v>
      </c>
      <c r="G98" s="1">
        <v>7</v>
      </c>
      <c r="H98" s="1" t="s">
        <v>29</v>
      </c>
      <c r="I98" s="1">
        <v>0</v>
      </c>
      <c r="J98" s="1" t="s">
        <v>23</v>
      </c>
      <c r="K98" s="1">
        <v>74686</v>
      </c>
      <c r="L98" s="1" t="s">
        <v>40</v>
      </c>
      <c r="M98" s="3" t="s">
        <v>41</v>
      </c>
    </row>
    <row r="99" spans="1:13" x14ac:dyDescent="0.25">
      <c r="A99" s="2">
        <v>10060</v>
      </c>
      <c r="B99" s="1" t="s">
        <v>384</v>
      </c>
      <c r="C99" s="1" t="s">
        <v>385</v>
      </c>
      <c r="D99" s="1" t="s">
        <v>386</v>
      </c>
      <c r="E99" s="1" t="s">
        <v>13</v>
      </c>
      <c r="F99" s="1" t="s">
        <v>387</v>
      </c>
      <c r="G99" s="1">
        <v>7</v>
      </c>
      <c r="H99" s="1" t="s">
        <v>29</v>
      </c>
      <c r="I99" s="1">
        <v>0</v>
      </c>
      <c r="J99" s="1" t="s">
        <v>23</v>
      </c>
      <c r="K99" s="1">
        <v>74686</v>
      </c>
      <c r="L99" s="1" t="s">
        <v>89</v>
      </c>
      <c r="M99" s="3" t="s">
        <v>41</v>
      </c>
    </row>
    <row r="100" spans="1:13" x14ac:dyDescent="0.25">
      <c r="A100" s="2">
        <v>422587</v>
      </c>
      <c r="B100" s="1" t="s">
        <v>388</v>
      </c>
      <c r="C100" s="1" t="s">
        <v>389</v>
      </c>
      <c r="D100" s="1" t="s">
        <v>128</v>
      </c>
      <c r="E100" s="1" t="s">
        <v>33</v>
      </c>
      <c r="F100" s="1" t="s">
        <v>390</v>
      </c>
      <c r="G100" s="1">
        <v>10</v>
      </c>
      <c r="H100" s="1" t="s">
        <v>15</v>
      </c>
      <c r="I100" s="1">
        <v>0</v>
      </c>
      <c r="J100" s="1" t="s">
        <v>23</v>
      </c>
      <c r="K100" s="1">
        <v>40000</v>
      </c>
      <c r="L100" s="1" t="s">
        <v>17</v>
      </c>
      <c r="M100" s="3" t="s">
        <v>18</v>
      </c>
    </row>
    <row r="101" spans="1:13" x14ac:dyDescent="0.25">
      <c r="A101" s="2">
        <v>10061</v>
      </c>
      <c r="B101" s="1" t="s">
        <v>391</v>
      </c>
      <c r="C101" s="1" t="s">
        <v>392</v>
      </c>
      <c r="D101" s="1" t="s">
        <v>393</v>
      </c>
      <c r="E101" s="1" t="s">
        <v>13</v>
      </c>
      <c r="F101" s="1" t="s">
        <v>394</v>
      </c>
      <c r="G101" s="1">
        <v>1</v>
      </c>
      <c r="H101" s="1" t="s">
        <v>35</v>
      </c>
      <c r="I101" s="1">
        <v>0</v>
      </c>
      <c r="J101" s="1" t="s">
        <v>23</v>
      </c>
      <c r="K101" s="1">
        <v>68577</v>
      </c>
      <c r="L101" s="1" t="s">
        <v>40</v>
      </c>
      <c r="M101" s="3" t="s">
        <v>102</v>
      </c>
    </row>
    <row r="102" spans="1:13" x14ac:dyDescent="0.25">
      <c r="A102" s="2">
        <v>10062</v>
      </c>
      <c r="B102" s="1" t="s">
        <v>395</v>
      </c>
      <c r="C102" s="1" t="s">
        <v>396</v>
      </c>
      <c r="D102" s="1" t="s">
        <v>397</v>
      </c>
      <c r="E102" s="1" t="s">
        <v>13</v>
      </c>
      <c r="F102" s="1" t="s">
        <v>398</v>
      </c>
      <c r="G102" s="1">
        <v>7</v>
      </c>
      <c r="H102" s="1" t="s">
        <v>35</v>
      </c>
      <c r="I102" s="1">
        <v>1</v>
      </c>
      <c r="J102" s="1" t="s">
        <v>399</v>
      </c>
      <c r="K102" s="1">
        <v>55685</v>
      </c>
      <c r="L102" s="1" t="s">
        <v>17</v>
      </c>
      <c r="M102" s="3" t="s">
        <v>18</v>
      </c>
    </row>
    <row r="103" spans="1:13" x14ac:dyDescent="0.25">
      <c r="A103" s="2">
        <v>35270</v>
      </c>
      <c r="B103" s="1" t="s">
        <v>400</v>
      </c>
      <c r="C103" s="1" t="s">
        <v>401</v>
      </c>
      <c r="D103" s="1" t="s">
        <v>402</v>
      </c>
      <c r="E103" s="1" t="s">
        <v>13</v>
      </c>
      <c r="F103" s="1" t="s">
        <v>403</v>
      </c>
      <c r="G103" s="1">
        <v>4</v>
      </c>
      <c r="H103" s="1" t="s">
        <v>29</v>
      </c>
      <c r="I103" s="1">
        <v>0</v>
      </c>
      <c r="J103" s="1" t="s">
        <v>23</v>
      </c>
      <c r="K103" s="1">
        <v>40338</v>
      </c>
      <c r="L103" s="1" t="s">
        <v>24</v>
      </c>
      <c r="M103" s="3" t="s">
        <v>156</v>
      </c>
    </row>
    <row r="104" spans="1:13" x14ac:dyDescent="0.25">
      <c r="A104" s="2">
        <v>10063</v>
      </c>
      <c r="B104" s="1" t="s">
        <v>404</v>
      </c>
      <c r="C104" s="1" t="s">
        <v>405</v>
      </c>
      <c r="D104" s="1" t="s">
        <v>406</v>
      </c>
      <c r="E104" s="1" t="s">
        <v>33</v>
      </c>
      <c r="F104" s="1" t="s">
        <v>150</v>
      </c>
      <c r="G104" s="1">
        <v>1</v>
      </c>
      <c r="H104" s="1" t="s">
        <v>29</v>
      </c>
      <c r="I104" s="1">
        <v>0</v>
      </c>
      <c r="J104" s="1" t="s">
        <v>23</v>
      </c>
      <c r="K104" s="1">
        <v>40000</v>
      </c>
      <c r="L104" s="1" t="s">
        <v>24</v>
      </c>
      <c r="M104" s="3" t="s">
        <v>18</v>
      </c>
    </row>
    <row r="105" spans="1:13" x14ac:dyDescent="0.25">
      <c r="A105" s="2">
        <v>10064</v>
      </c>
      <c r="B105" s="1" t="s">
        <v>407</v>
      </c>
      <c r="C105" s="1" t="s">
        <v>408</v>
      </c>
      <c r="D105" s="1" t="s">
        <v>409</v>
      </c>
      <c r="E105" s="1" t="s">
        <v>13</v>
      </c>
      <c r="F105" s="1" t="s">
        <v>204</v>
      </c>
      <c r="G105" s="1">
        <v>2</v>
      </c>
      <c r="H105" s="1" t="s">
        <v>29</v>
      </c>
      <c r="I105" s="1">
        <v>0</v>
      </c>
      <c r="J105" s="1" t="s">
        <v>23</v>
      </c>
      <c r="K105" s="1">
        <v>40000</v>
      </c>
      <c r="L105" s="1" t="s">
        <v>61</v>
      </c>
      <c r="M105" s="3" t="s">
        <v>41</v>
      </c>
    </row>
    <row r="106" spans="1:13" x14ac:dyDescent="0.25">
      <c r="A106" s="2">
        <v>105597</v>
      </c>
      <c r="B106" s="1" t="s">
        <v>410</v>
      </c>
      <c r="C106" s="1" t="s">
        <v>411</v>
      </c>
      <c r="D106" s="1" t="s">
        <v>412</v>
      </c>
      <c r="E106" s="1" t="s">
        <v>13</v>
      </c>
      <c r="F106" s="1" t="s">
        <v>413</v>
      </c>
      <c r="G106" s="1">
        <v>2</v>
      </c>
      <c r="H106" s="1" t="s">
        <v>29</v>
      </c>
      <c r="I106" s="1">
        <v>0</v>
      </c>
      <c r="J106" s="1" t="s">
        <v>23</v>
      </c>
      <c r="K106" s="1">
        <v>43841</v>
      </c>
      <c r="L106" s="1" t="s">
        <v>46</v>
      </c>
      <c r="M106" s="3" t="s">
        <v>102</v>
      </c>
    </row>
    <row r="107" spans="1:13" x14ac:dyDescent="0.25">
      <c r="A107" s="2">
        <v>10065</v>
      </c>
      <c r="B107" s="1" t="s">
        <v>414</v>
      </c>
      <c r="C107" s="1" t="s">
        <v>415</v>
      </c>
      <c r="D107" s="1" t="s">
        <v>416</v>
      </c>
      <c r="E107" s="1" t="s">
        <v>13</v>
      </c>
      <c r="F107" s="1" t="s">
        <v>417</v>
      </c>
      <c r="G107" s="1">
        <v>5</v>
      </c>
      <c r="H107" s="1" t="s">
        <v>35</v>
      </c>
      <c r="I107" s="1">
        <v>0</v>
      </c>
      <c r="J107" s="1" t="s">
        <v>23</v>
      </c>
      <c r="K107" s="1">
        <v>40000</v>
      </c>
      <c r="L107" s="1" t="s">
        <v>17</v>
      </c>
      <c r="M107" s="3" t="s">
        <v>55</v>
      </c>
    </row>
    <row r="108" spans="1:13" x14ac:dyDescent="0.25">
      <c r="A108" s="2">
        <v>10066</v>
      </c>
      <c r="B108" s="1" t="s">
        <v>418</v>
      </c>
      <c r="C108" s="1" t="s">
        <v>419</v>
      </c>
      <c r="D108" s="1" t="s">
        <v>420</v>
      </c>
      <c r="E108" s="1" t="s">
        <v>13</v>
      </c>
      <c r="F108" s="1" t="s">
        <v>421</v>
      </c>
      <c r="G108" s="1">
        <v>1</v>
      </c>
      <c r="H108" s="1" t="s">
        <v>138</v>
      </c>
      <c r="I108" s="1">
        <v>0</v>
      </c>
      <c r="J108" s="1" t="s">
        <v>23</v>
      </c>
      <c r="K108" s="1">
        <v>69736</v>
      </c>
      <c r="L108" s="1" t="s">
        <v>17</v>
      </c>
      <c r="M108" s="3" t="s">
        <v>18</v>
      </c>
    </row>
    <row r="109" spans="1:13" x14ac:dyDescent="0.25">
      <c r="A109" s="2">
        <v>244689</v>
      </c>
      <c r="B109" s="1" t="s">
        <v>422</v>
      </c>
      <c r="C109" s="1" t="s">
        <v>423</v>
      </c>
      <c r="D109" s="1" t="s">
        <v>424</v>
      </c>
      <c r="E109" s="1" t="s">
        <v>13</v>
      </c>
      <c r="F109" s="1" t="s">
        <v>425</v>
      </c>
      <c r="G109" s="1">
        <v>7</v>
      </c>
      <c r="H109" s="1" t="s">
        <v>35</v>
      </c>
      <c r="I109" s="1">
        <v>0</v>
      </c>
      <c r="J109" s="1" t="s">
        <v>23</v>
      </c>
      <c r="K109" s="1">
        <v>40000</v>
      </c>
      <c r="L109" s="1" t="s">
        <v>125</v>
      </c>
      <c r="M109" s="3" t="s">
        <v>41</v>
      </c>
    </row>
    <row r="110" spans="1:13" x14ac:dyDescent="0.25">
      <c r="A110" s="2">
        <v>244689</v>
      </c>
      <c r="B110" s="1" t="s">
        <v>422</v>
      </c>
      <c r="C110" s="1" t="s">
        <v>423</v>
      </c>
      <c r="D110" s="1" t="s">
        <v>424</v>
      </c>
      <c r="E110" s="1" t="s">
        <v>13</v>
      </c>
      <c r="F110" s="1" t="s">
        <v>425</v>
      </c>
      <c r="G110" s="1">
        <v>7</v>
      </c>
      <c r="H110" s="1" t="s">
        <v>35</v>
      </c>
      <c r="I110" s="1">
        <v>0</v>
      </c>
      <c r="J110" s="1" t="s">
        <v>23</v>
      </c>
      <c r="K110" s="1">
        <v>40000</v>
      </c>
      <c r="L110" s="1" t="s">
        <v>46</v>
      </c>
      <c r="M110" s="3" t="s">
        <v>41</v>
      </c>
    </row>
    <row r="111" spans="1:13" x14ac:dyDescent="0.25">
      <c r="A111" s="2">
        <v>10067</v>
      </c>
      <c r="B111" s="1" t="s">
        <v>426</v>
      </c>
      <c r="C111" s="1" t="s">
        <v>427</v>
      </c>
      <c r="D111" s="1" t="s">
        <v>428</v>
      </c>
      <c r="E111" s="1" t="s">
        <v>13</v>
      </c>
      <c r="F111" s="1" t="s">
        <v>429</v>
      </c>
      <c r="G111" s="1">
        <v>2</v>
      </c>
      <c r="H111" s="1" t="s">
        <v>15</v>
      </c>
      <c r="I111" s="1">
        <v>0</v>
      </c>
      <c r="J111" s="1" t="s">
        <v>23</v>
      </c>
      <c r="K111" s="1">
        <v>44642</v>
      </c>
      <c r="L111" s="1" t="s">
        <v>71</v>
      </c>
      <c r="M111" s="3" t="s">
        <v>18</v>
      </c>
    </row>
    <row r="112" spans="1:13" x14ac:dyDescent="0.25">
      <c r="A112" s="2">
        <v>10068</v>
      </c>
      <c r="B112" s="1" t="s">
        <v>430</v>
      </c>
      <c r="C112" s="1" t="s">
        <v>431</v>
      </c>
      <c r="D112" s="1" t="s">
        <v>432</v>
      </c>
      <c r="E112" s="1" t="s">
        <v>13</v>
      </c>
      <c r="F112" s="1" t="s">
        <v>433</v>
      </c>
      <c r="G112" s="1">
        <v>6</v>
      </c>
      <c r="H112" s="1" t="s">
        <v>29</v>
      </c>
      <c r="I112" s="1">
        <v>0</v>
      </c>
      <c r="J112" s="1" t="s">
        <v>23</v>
      </c>
      <c r="K112" s="1">
        <v>87964</v>
      </c>
      <c r="L112" s="1" t="s">
        <v>40</v>
      </c>
      <c r="M112" s="3" t="s">
        <v>41</v>
      </c>
    </row>
    <row r="113" spans="1:13" x14ac:dyDescent="0.25">
      <c r="A113" s="2">
        <v>48885</v>
      </c>
      <c r="B113" s="1" t="s">
        <v>434</v>
      </c>
      <c r="C113" s="1" t="s">
        <v>435</v>
      </c>
      <c r="D113" s="1" t="s">
        <v>436</v>
      </c>
      <c r="E113" s="1" t="s">
        <v>13</v>
      </c>
      <c r="F113" s="1" t="s">
        <v>437</v>
      </c>
      <c r="G113" s="1">
        <v>9</v>
      </c>
      <c r="H113" s="1" t="s">
        <v>35</v>
      </c>
      <c r="I113" s="1">
        <v>0</v>
      </c>
      <c r="J113" s="1" t="s">
        <v>23</v>
      </c>
      <c r="K113" s="1">
        <v>55736</v>
      </c>
      <c r="L113" s="1" t="s">
        <v>17</v>
      </c>
      <c r="M113" s="3" t="s">
        <v>18</v>
      </c>
    </row>
    <row r="114" spans="1:13" x14ac:dyDescent="0.25">
      <c r="A114" s="2">
        <v>10069</v>
      </c>
      <c r="B114" s="1" t="s">
        <v>438</v>
      </c>
      <c r="C114" s="1" t="s">
        <v>439</v>
      </c>
      <c r="D114" s="1" t="s">
        <v>440</v>
      </c>
      <c r="E114" s="1" t="s">
        <v>33</v>
      </c>
      <c r="F114" s="1" t="s">
        <v>441</v>
      </c>
      <c r="G114" s="1">
        <v>10</v>
      </c>
      <c r="H114" s="1" t="s">
        <v>29</v>
      </c>
      <c r="I114" s="1">
        <v>0</v>
      </c>
      <c r="J114" s="1" t="s">
        <v>23</v>
      </c>
      <c r="K114" s="1">
        <v>67932</v>
      </c>
      <c r="L114" s="1" t="s">
        <v>24</v>
      </c>
      <c r="M114" s="3" t="s">
        <v>156</v>
      </c>
    </row>
    <row r="115" spans="1:13" x14ac:dyDescent="0.25">
      <c r="A115" s="2">
        <v>10070</v>
      </c>
      <c r="B115" s="1" t="s">
        <v>442</v>
      </c>
      <c r="C115" s="1" t="s">
        <v>443</v>
      </c>
      <c r="D115" s="1" t="s">
        <v>444</v>
      </c>
      <c r="E115" s="1" t="s">
        <v>13</v>
      </c>
      <c r="F115" s="1" t="s">
        <v>445</v>
      </c>
      <c r="G115" s="1">
        <v>7</v>
      </c>
      <c r="H115" s="1" t="s">
        <v>29</v>
      </c>
      <c r="I115" s="1">
        <v>0</v>
      </c>
      <c r="J115" s="1" t="s">
        <v>23</v>
      </c>
      <c r="K115" s="1">
        <v>55999</v>
      </c>
      <c r="L115" s="1" t="s">
        <v>17</v>
      </c>
      <c r="M115" s="3" t="s">
        <v>156</v>
      </c>
    </row>
    <row r="116" spans="1:13" x14ac:dyDescent="0.25">
      <c r="A116" s="2">
        <v>10070</v>
      </c>
      <c r="B116" s="1" t="s">
        <v>442</v>
      </c>
      <c r="C116" s="1" t="s">
        <v>443</v>
      </c>
      <c r="D116" s="1" t="s">
        <v>444</v>
      </c>
      <c r="E116" s="1" t="s">
        <v>13</v>
      </c>
      <c r="F116" s="1" t="s">
        <v>445</v>
      </c>
      <c r="G116" s="1">
        <v>7</v>
      </c>
      <c r="H116" s="1" t="s">
        <v>29</v>
      </c>
      <c r="I116" s="1">
        <v>0</v>
      </c>
      <c r="J116" s="1" t="s">
        <v>23</v>
      </c>
      <c r="K116" s="1">
        <v>55999</v>
      </c>
      <c r="L116" s="1" t="s">
        <v>61</v>
      </c>
      <c r="M116" s="3" t="s">
        <v>156</v>
      </c>
    </row>
    <row r="117" spans="1:13" x14ac:dyDescent="0.25">
      <c r="A117" s="2">
        <v>244492</v>
      </c>
      <c r="B117" s="1" t="s">
        <v>446</v>
      </c>
      <c r="C117" s="1" t="s">
        <v>447</v>
      </c>
      <c r="D117" s="1" t="s">
        <v>448</v>
      </c>
      <c r="E117" s="1" t="s">
        <v>13</v>
      </c>
      <c r="F117" s="1" t="s">
        <v>449</v>
      </c>
      <c r="G117" s="1">
        <v>3</v>
      </c>
      <c r="H117" s="1" t="s">
        <v>15</v>
      </c>
      <c r="I117" s="1">
        <v>1</v>
      </c>
      <c r="J117" s="1" t="s">
        <v>450</v>
      </c>
      <c r="K117" s="1">
        <v>63685</v>
      </c>
      <c r="L117" s="1" t="s">
        <v>17</v>
      </c>
      <c r="M117" s="3" t="s">
        <v>18</v>
      </c>
    </row>
    <row r="118" spans="1:13" x14ac:dyDescent="0.25">
      <c r="A118" s="2">
        <v>10071</v>
      </c>
      <c r="B118" s="1" t="s">
        <v>451</v>
      </c>
      <c r="C118" s="1" t="s">
        <v>452</v>
      </c>
      <c r="D118" s="1" t="s">
        <v>453</v>
      </c>
      <c r="E118" s="1" t="s">
        <v>13</v>
      </c>
      <c r="F118" s="1" t="s">
        <v>454</v>
      </c>
      <c r="G118" s="1">
        <v>4</v>
      </c>
      <c r="H118" s="1" t="s">
        <v>35</v>
      </c>
      <c r="I118" s="1">
        <v>0</v>
      </c>
      <c r="J118" s="1" t="s">
        <v>23</v>
      </c>
      <c r="K118" s="1">
        <v>40000</v>
      </c>
      <c r="L118" s="1" t="s">
        <v>46</v>
      </c>
      <c r="M118" s="3" t="s">
        <v>41</v>
      </c>
    </row>
    <row r="119" spans="1:13" x14ac:dyDescent="0.25">
      <c r="A119" s="2">
        <v>215615</v>
      </c>
      <c r="B119" s="1" t="s">
        <v>455</v>
      </c>
      <c r="C119" s="1" t="s">
        <v>234</v>
      </c>
      <c r="D119" s="1" t="s">
        <v>456</v>
      </c>
      <c r="E119" s="1" t="s">
        <v>33</v>
      </c>
      <c r="F119" s="1" t="s">
        <v>457</v>
      </c>
      <c r="G119" s="1">
        <v>10</v>
      </c>
      <c r="H119" s="1" t="s">
        <v>15</v>
      </c>
      <c r="I119" s="1">
        <v>0</v>
      </c>
      <c r="J119" s="1" t="s">
        <v>23</v>
      </c>
      <c r="K119" s="1">
        <v>40000</v>
      </c>
      <c r="L119" s="1" t="s">
        <v>24</v>
      </c>
      <c r="M119" s="3" t="s">
        <v>55</v>
      </c>
    </row>
    <row r="120" spans="1:13" x14ac:dyDescent="0.25">
      <c r="A120" s="2">
        <v>215615</v>
      </c>
      <c r="B120" s="1" t="s">
        <v>455</v>
      </c>
      <c r="C120" s="1" t="s">
        <v>234</v>
      </c>
      <c r="D120" s="1" t="s">
        <v>456</v>
      </c>
      <c r="E120" s="1" t="s">
        <v>33</v>
      </c>
      <c r="F120" s="1" t="s">
        <v>457</v>
      </c>
      <c r="G120" s="1">
        <v>10</v>
      </c>
      <c r="H120" s="1" t="s">
        <v>15</v>
      </c>
      <c r="I120" s="1">
        <v>0</v>
      </c>
      <c r="J120" s="1" t="s">
        <v>23</v>
      </c>
      <c r="K120" s="1">
        <v>40000</v>
      </c>
      <c r="L120" s="1" t="s">
        <v>71</v>
      </c>
      <c r="M120" s="3" t="s">
        <v>55</v>
      </c>
    </row>
    <row r="121" spans="1:13" x14ac:dyDescent="0.25">
      <c r="A121" s="2">
        <v>10072</v>
      </c>
      <c r="B121" s="1" t="s">
        <v>458</v>
      </c>
      <c r="C121" s="1" t="s">
        <v>459</v>
      </c>
      <c r="D121" s="1" t="s">
        <v>460</v>
      </c>
      <c r="E121" s="1" t="s">
        <v>33</v>
      </c>
      <c r="F121" s="1" t="s">
        <v>461</v>
      </c>
      <c r="G121" s="1">
        <v>8</v>
      </c>
      <c r="H121" s="1" t="s">
        <v>35</v>
      </c>
      <c r="I121" s="1">
        <v>0</v>
      </c>
      <c r="J121" s="1" t="s">
        <v>23</v>
      </c>
      <c r="K121" s="1">
        <v>40000</v>
      </c>
      <c r="L121" s="1" t="s">
        <v>17</v>
      </c>
      <c r="M121" s="3" t="s">
        <v>18</v>
      </c>
    </row>
    <row r="122" spans="1:13" x14ac:dyDescent="0.25">
      <c r="A122" s="2">
        <v>10073</v>
      </c>
      <c r="B122" s="1" t="s">
        <v>462</v>
      </c>
      <c r="C122" s="1" t="s">
        <v>463</v>
      </c>
      <c r="D122" s="1" t="s">
        <v>464</v>
      </c>
      <c r="E122" s="1" t="s">
        <v>13</v>
      </c>
      <c r="F122" s="1" t="s">
        <v>465</v>
      </c>
      <c r="G122" s="1">
        <v>5</v>
      </c>
      <c r="H122" s="1" t="s">
        <v>15</v>
      </c>
      <c r="I122" s="1">
        <v>0</v>
      </c>
      <c r="J122" s="1" t="s">
        <v>23</v>
      </c>
      <c r="K122" s="1">
        <v>56473</v>
      </c>
      <c r="L122" s="1" t="s">
        <v>71</v>
      </c>
      <c r="M122" s="3" t="s">
        <v>55</v>
      </c>
    </row>
    <row r="123" spans="1:13" x14ac:dyDescent="0.25">
      <c r="A123" s="2">
        <v>95280</v>
      </c>
      <c r="B123" s="1" t="s">
        <v>466</v>
      </c>
      <c r="C123" s="1" t="s">
        <v>467</v>
      </c>
      <c r="D123" s="1" t="s">
        <v>468</v>
      </c>
      <c r="E123" s="1" t="s">
        <v>33</v>
      </c>
      <c r="F123" s="1" t="s">
        <v>469</v>
      </c>
      <c r="G123" s="1">
        <v>10</v>
      </c>
      <c r="H123" s="1" t="s">
        <v>370</v>
      </c>
      <c r="I123" s="1">
        <v>0</v>
      </c>
      <c r="J123" s="1" t="s">
        <v>23</v>
      </c>
      <c r="K123" s="1">
        <v>40000</v>
      </c>
      <c r="L123" s="1" t="s">
        <v>24</v>
      </c>
      <c r="M123" s="3" t="s">
        <v>18</v>
      </c>
    </row>
    <row r="124" spans="1:13" x14ac:dyDescent="0.25">
      <c r="A124" s="2">
        <v>10074</v>
      </c>
      <c r="B124" s="1" t="s">
        <v>470</v>
      </c>
      <c r="C124" s="1" t="s">
        <v>471</v>
      </c>
      <c r="D124" s="1" t="s">
        <v>472</v>
      </c>
      <c r="E124" s="1" t="s">
        <v>33</v>
      </c>
      <c r="F124" s="1" t="s">
        <v>473</v>
      </c>
      <c r="G124" s="1">
        <v>8</v>
      </c>
      <c r="H124" s="1" t="s">
        <v>138</v>
      </c>
      <c r="I124" s="1">
        <v>1</v>
      </c>
      <c r="J124" s="1" t="s">
        <v>474</v>
      </c>
      <c r="K124" s="1">
        <v>61714</v>
      </c>
      <c r="L124" s="1" t="s">
        <v>17</v>
      </c>
      <c r="M124" s="3" t="s">
        <v>156</v>
      </c>
    </row>
    <row r="125" spans="1:13" x14ac:dyDescent="0.25">
      <c r="A125" s="2">
        <v>10075</v>
      </c>
      <c r="B125" s="1" t="s">
        <v>475</v>
      </c>
      <c r="C125" s="1" t="s">
        <v>476</v>
      </c>
      <c r="D125" s="1" t="s">
        <v>477</v>
      </c>
      <c r="E125" s="1" t="s">
        <v>33</v>
      </c>
      <c r="F125" s="1" t="s">
        <v>478</v>
      </c>
      <c r="G125" s="1">
        <v>4</v>
      </c>
      <c r="H125" s="1" t="s">
        <v>35</v>
      </c>
      <c r="I125" s="1">
        <v>0</v>
      </c>
      <c r="J125" s="1" t="s">
        <v>23</v>
      </c>
      <c r="K125" s="1">
        <v>43815</v>
      </c>
      <c r="L125" s="1" t="s">
        <v>17</v>
      </c>
      <c r="M125" s="3" t="s">
        <v>18</v>
      </c>
    </row>
    <row r="126" spans="1:13" x14ac:dyDescent="0.25">
      <c r="A126" s="2">
        <v>37473</v>
      </c>
      <c r="B126" s="1" t="s">
        <v>479</v>
      </c>
      <c r="C126" s="1" t="s">
        <v>179</v>
      </c>
      <c r="D126" s="1" t="s">
        <v>480</v>
      </c>
      <c r="E126" s="1" t="s">
        <v>13</v>
      </c>
      <c r="F126" s="1" t="s">
        <v>481</v>
      </c>
      <c r="G126" s="1">
        <v>3</v>
      </c>
      <c r="H126" s="1" t="s">
        <v>138</v>
      </c>
      <c r="I126" s="1">
        <v>0</v>
      </c>
      <c r="J126" s="1" t="s">
        <v>23</v>
      </c>
      <c r="K126" s="1">
        <v>55963</v>
      </c>
      <c r="L126" s="1" t="s">
        <v>108</v>
      </c>
      <c r="M126" s="3" t="s">
        <v>41</v>
      </c>
    </row>
    <row r="127" spans="1:13" x14ac:dyDescent="0.25">
      <c r="A127" s="2">
        <v>10076</v>
      </c>
      <c r="B127" s="1" t="s">
        <v>482</v>
      </c>
      <c r="C127" s="1" t="s">
        <v>483</v>
      </c>
      <c r="D127" s="1" t="s">
        <v>484</v>
      </c>
      <c r="E127" s="1" t="s">
        <v>33</v>
      </c>
      <c r="F127" s="1" t="s">
        <v>485</v>
      </c>
      <c r="G127" s="1">
        <v>9</v>
      </c>
      <c r="H127" s="1" t="s">
        <v>35</v>
      </c>
      <c r="I127" s="1">
        <v>0</v>
      </c>
      <c r="J127" s="1" t="s">
        <v>23</v>
      </c>
      <c r="K127" s="1">
        <v>47319</v>
      </c>
      <c r="L127" s="1" t="s">
        <v>17</v>
      </c>
      <c r="M127" s="3" t="s">
        <v>18</v>
      </c>
    </row>
    <row r="128" spans="1:13" x14ac:dyDescent="0.25">
      <c r="A128" s="2">
        <v>10077</v>
      </c>
      <c r="B128" s="1" t="s">
        <v>486</v>
      </c>
      <c r="C128" s="1" t="s">
        <v>487</v>
      </c>
      <c r="D128" s="1" t="s">
        <v>488</v>
      </c>
      <c r="E128" s="1" t="s">
        <v>13</v>
      </c>
      <c r="F128" s="1" t="s">
        <v>489</v>
      </c>
      <c r="G128" s="1">
        <v>2</v>
      </c>
      <c r="H128" s="1" t="s">
        <v>15</v>
      </c>
      <c r="I128" s="1">
        <v>0</v>
      </c>
      <c r="J128" s="1" t="s">
        <v>23</v>
      </c>
      <c r="K128" s="1">
        <v>40000</v>
      </c>
      <c r="L128" s="1" t="s">
        <v>46</v>
      </c>
      <c r="M128" s="3" t="s">
        <v>41</v>
      </c>
    </row>
    <row r="129" spans="1:13" x14ac:dyDescent="0.25">
      <c r="A129" s="2">
        <v>43471</v>
      </c>
      <c r="B129" s="1" t="s">
        <v>490</v>
      </c>
      <c r="C129" s="1" t="s">
        <v>491</v>
      </c>
      <c r="D129" s="1" t="s">
        <v>492</v>
      </c>
      <c r="E129" s="1" t="s">
        <v>33</v>
      </c>
      <c r="F129" s="1" t="s">
        <v>493</v>
      </c>
      <c r="G129" s="1">
        <v>6</v>
      </c>
      <c r="H129" s="1" t="s">
        <v>35</v>
      </c>
      <c r="I129" s="1">
        <v>1</v>
      </c>
      <c r="J129" s="1" t="s">
        <v>494</v>
      </c>
      <c r="K129" s="1">
        <v>40023</v>
      </c>
      <c r="L129" s="1" t="s">
        <v>24</v>
      </c>
      <c r="M129" s="3" t="s">
        <v>55</v>
      </c>
    </row>
    <row r="130" spans="1:13" x14ac:dyDescent="0.25">
      <c r="A130" s="2">
        <v>10078</v>
      </c>
      <c r="B130" s="1" t="s">
        <v>495</v>
      </c>
      <c r="C130" s="1" t="s">
        <v>496</v>
      </c>
      <c r="D130" s="1" t="s">
        <v>497</v>
      </c>
      <c r="E130" s="1" t="s">
        <v>33</v>
      </c>
      <c r="F130" s="1" t="s">
        <v>498</v>
      </c>
      <c r="G130" s="1">
        <v>10</v>
      </c>
      <c r="H130" s="1" t="s">
        <v>29</v>
      </c>
      <c r="I130" s="1">
        <v>0</v>
      </c>
      <c r="J130" s="1" t="s">
        <v>23</v>
      </c>
      <c r="K130" s="1">
        <v>47280</v>
      </c>
      <c r="L130" s="1" t="s">
        <v>17</v>
      </c>
      <c r="M130" s="3" t="s">
        <v>55</v>
      </c>
    </row>
    <row r="131" spans="1:13" x14ac:dyDescent="0.25">
      <c r="A131" s="2">
        <v>10079</v>
      </c>
      <c r="B131" s="1" t="s">
        <v>499</v>
      </c>
      <c r="C131" s="1" t="s">
        <v>500</v>
      </c>
      <c r="D131" s="1" t="s">
        <v>501</v>
      </c>
      <c r="E131" s="1" t="s">
        <v>33</v>
      </c>
      <c r="F131" s="1" t="s">
        <v>502</v>
      </c>
      <c r="G131" s="1">
        <v>2</v>
      </c>
      <c r="H131" s="1" t="s">
        <v>35</v>
      </c>
      <c r="I131" s="1">
        <v>0</v>
      </c>
      <c r="J131" s="1" t="s">
        <v>23</v>
      </c>
      <c r="K131" s="1">
        <v>53492</v>
      </c>
      <c r="L131" s="1" t="s">
        <v>17</v>
      </c>
      <c r="M131" s="3" t="s">
        <v>156</v>
      </c>
    </row>
    <row r="132" spans="1:13" x14ac:dyDescent="0.25">
      <c r="A132" s="2">
        <v>289261</v>
      </c>
      <c r="B132" s="1" t="s">
        <v>503</v>
      </c>
      <c r="C132" s="1" t="s">
        <v>504</v>
      </c>
      <c r="D132" s="1" t="s">
        <v>505</v>
      </c>
      <c r="E132" s="1" t="s">
        <v>13</v>
      </c>
      <c r="F132" s="1" t="s">
        <v>506</v>
      </c>
      <c r="G132" s="1">
        <v>5</v>
      </c>
      <c r="H132" s="1" t="s">
        <v>35</v>
      </c>
      <c r="I132" s="1">
        <v>0</v>
      </c>
      <c r="J132" s="1" t="s">
        <v>23</v>
      </c>
      <c r="K132" s="1">
        <v>63068</v>
      </c>
      <c r="L132" s="1" t="s">
        <v>40</v>
      </c>
      <c r="M132" s="3" t="s">
        <v>41</v>
      </c>
    </row>
    <row r="133" spans="1:13" x14ac:dyDescent="0.25">
      <c r="A133" s="2">
        <v>10080</v>
      </c>
      <c r="B133" s="1" t="s">
        <v>507</v>
      </c>
      <c r="C133" s="1" t="s">
        <v>508</v>
      </c>
      <c r="D133" s="1" t="s">
        <v>509</v>
      </c>
      <c r="E133" s="1" t="s">
        <v>13</v>
      </c>
      <c r="F133" s="1" t="s">
        <v>510</v>
      </c>
      <c r="G133" s="1">
        <v>3</v>
      </c>
      <c r="H133" s="1" t="s">
        <v>29</v>
      </c>
      <c r="I133" s="1">
        <v>0</v>
      </c>
      <c r="J133" s="1" t="s">
        <v>23</v>
      </c>
      <c r="K133" s="1">
        <v>54916</v>
      </c>
      <c r="L133" s="1" t="s">
        <v>108</v>
      </c>
      <c r="M133" s="3" t="s">
        <v>41</v>
      </c>
    </row>
    <row r="134" spans="1:13" x14ac:dyDescent="0.25">
      <c r="A134" s="2">
        <v>10080</v>
      </c>
      <c r="B134" s="1" t="s">
        <v>507</v>
      </c>
      <c r="C134" s="1" t="s">
        <v>508</v>
      </c>
      <c r="D134" s="1" t="s">
        <v>509</v>
      </c>
      <c r="E134" s="1" t="s">
        <v>13</v>
      </c>
      <c r="F134" s="1" t="s">
        <v>510</v>
      </c>
      <c r="G134" s="1">
        <v>3</v>
      </c>
      <c r="H134" s="1" t="s">
        <v>29</v>
      </c>
      <c r="I134" s="1">
        <v>0</v>
      </c>
      <c r="J134" s="1" t="s">
        <v>23</v>
      </c>
      <c r="K134" s="1">
        <v>54916</v>
      </c>
      <c r="L134" s="1" t="s">
        <v>46</v>
      </c>
      <c r="M134" s="3" t="s">
        <v>41</v>
      </c>
    </row>
    <row r="135" spans="1:13" x14ac:dyDescent="0.25">
      <c r="A135" s="2">
        <v>26941</v>
      </c>
      <c r="B135" s="1" t="s">
        <v>511</v>
      </c>
      <c r="C135" s="1" t="s">
        <v>512</v>
      </c>
      <c r="D135" s="1" t="s">
        <v>513</v>
      </c>
      <c r="E135" s="1" t="s">
        <v>13</v>
      </c>
      <c r="F135" s="1" t="s">
        <v>514</v>
      </c>
      <c r="G135" s="1">
        <v>7</v>
      </c>
      <c r="H135" s="1" t="s">
        <v>15</v>
      </c>
      <c r="I135" s="1">
        <v>0</v>
      </c>
      <c r="J135" s="1" t="s">
        <v>23</v>
      </c>
      <c r="K135" s="1">
        <v>40000</v>
      </c>
      <c r="L135" s="1" t="s">
        <v>17</v>
      </c>
      <c r="M135" s="3" t="s">
        <v>18</v>
      </c>
    </row>
    <row r="136" spans="1:13" x14ac:dyDescent="0.25">
      <c r="A136" s="2">
        <v>10081</v>
      </c>
      <c r="B136" s="1" t="s">
        <v>515</v>
      </c>
      <c r="C136" s="1" t="s">
        <v>516</v>
      </c>
      <c r="D136" s="1" t="s">
        <v>517</v>
      </c>
      <c r="E136" s="1" t="s">
        <v>13</v>
      </c>
      <c r="F136" s="1" t="s">
        <v>518</v>
      </c>
      <c r="G136" s="1">
        <v>5</v>
      </c>
      <c r="H136" s="1" t="s">
        <v>29</v>
      </c>
      <c r="I136" s="1">
        <v>0</v>
      </c>
      <c r="J136" s="1" t="s">
        <v>23</v>
      </c>
      <c r="K136" s="1">
        <v>55786</v>
      </c>
      <c r="L136" s="1" t="s">
        <v>24</v>
      </c>
      <c r="M136" s="3" t="s">
        <v>18</v>
      </c>
    </row>
    <row r="137" spans="1:13" x14ac:dyDescent="0.25">
      <c r="A137" s="2">
        <v>10082</v>
      </c>
      <c r="B137" s="1" t="s">
        <v>519</v>
      </c>
      <c r="C137" s="1" t="s">
        <v>520</v>
      </c>
      <c r="D137" s="1" t="s">
        <v>255</v>
      </c>
      <c r="E137" s="1" t="s">
        <v>13</v>
      </c>
      <c r="F137" s="1" t="s">
        <v>521</v>
      </c>
      <c r="G137" s="1">
        <v>9</v>
      </c>
      <c r="H137" s="1" t="s">
        <v>15</v>
      </c>
      <c r="I137" s="1">
        <v>1</v>
      </c>
      <c r="J137" s="1" t="s">
        <v>522</v>
      </c>
      <c r="K137" s="1">
        <v>48935</v>
      </c>
      <c r="L137" s="1" t="s">
        <v>61</v>
      </c>
      <c r="M137" s="3" t="s">
        <v>41</v>
      </c>
    </row>
    <row r="138" spans="1:13" x14ac:dyDescent="0.25">
      <c r="A138" s="2">
        <v>465253</v>
      </c>
      <c r="B138" s="1" t="s">
        <v>523</v>
      </c>
      <c r="C138" s="1" t="s">
        <v>524</v>
      </c>
      <c r="D138" s="1" t="s">
        <v>525</v>
      </c>
      <c r="E138" s="1" t="s">
        <v>33</v>
      </c>
      <c r="F138" s="1" t="s">
        <v>526</v>
      </c>
      <c r="G138" s="1">
        <v>5</v>
      </c>
      <c r="H138" s="1" t="s">
        <v>35</v>
      </c>
      <c r="I138" s="1">
        <v>0</v>
      </c>
      <c r="J138" s="1" t="s">
        <v>23</v>
      </c>
      <c r="K138" s="1">
        <v>43653</v>
      </c>
      <c r="L138" s="1" t="s">
        <v>24</v>
      </c>
      <c r="M138" s="3" t="s">
        <v>18</v>
      </c>
    </row>
    <row r="139" spans="1:13" x14ac:dyDescent="0.25">
      <c r="A139" s="2">
        <v>10083</v>
      </c>
      <c r="B139" s="1" t="s">
        <v>527</v>
      </c>
      <c r="C139" s="1" t="s">
        <v>528</v>
      </c>
      <c r="D139" s="1" t="s">
        <v>529</v>
      </c>
      <c r="E139" s="1" t="s">
        <v>13</v>
      </c>
      <c r="F139" s="1" t="s">
        <v>530</v>
      </c>
      <c r="G139" s="1">
        <v>5</v>
      </c>
      <c r="H139" s="1" t="s">
        <v>15</v>
      </c>
      <c r="I139" s="1">
        <v>0</v>
      </c>
      <c r="J139" s="1" t="s">
        <v>23</v>
      </c>
      <c r="K139" s="1">
        <v>40000</v>
      </c>
      <c r="L139" s="1" t="s">
        <v>24</v>
      </c>
      <c r="M139" s="3" t="s">
        <v>18</v>
      </c>
    </row>
    <row r="140" spans="1:13" x14ac:dyDescent="0.25">
      <c r="A140" s="2">
        <v>10084</v>
      </c>
      <c r="B140" s="1" t="s">
        <v>531</v>
      </c>
      <c r="C140" s="1" t="s">
        <v>532</v>
      </c>
      <c r="D140" s="1" t="s">
        <v>64</v>
      </c>
      <c r="E140" s="1" t="s">
        <v>13</v>
      </c>
      <c r="F140" s="1" t="s">
        <v>533</v>
      </c>
      <c r="G140" s="1">
        <v>7</v>
      </c>
      <c r="H140" s="1" t="s">
        <v>29</v>
      </c>
      <c r="I140" s="1">
        <v>0</v>
      </c>
      <c r="J140" s="1" t="s">
        <v>23</v>
      </c>
      <c r="K140" s="1">
        <v>69811</v>
      </c>
      <c r="L140" s="1" t="s">
        <v>24</v>
      </c>
      <c r="M140" s="3" t="s">
        <v>18</v>
      </c>
    </row>
    <row r="141" spans="1:13" x14ac:dyDescent="0.25">
      <c r="A141" s="2">
        <v>444985</v>
      </c>
      <c r="B141" s="1" t="s">
        <v>534</v>
      </c>
      <c r="C141" s="1" t="s">
        <v>535</v>
      </c>
      <c r="D141" s="1" t="s">
        <v>536</v>
      </c>
      <c r="E141" s="1" t="s">
        <v>33</v>
      </c>
      <c r="F141" s="1" t="s">
        <v>537</v>
      </c>
      <c r="G141" s="1">
        <v>2</v>
      </c>
      <c r="H141" s="1" t="s">
        <v>35</v>
      </c>
      <c r="I141" s="1">
        <v>0</v>
      </c>
      <c r="J141" s="1" t="s">
        <v>23</v>
      </c>
      <c r="K141" s="1">
        <v>71042</v>
      </c>
      <c r="L141" s="1" t="s">
        <v>40</v>
      </c>
      <c r="M141" s="3" t="s">
        <v>41</v>
      </c>
    </row>
    <row r="142" spans="1:13" x14ac:dyDescent="0.25">
      <c r="A142" s="2">
        <v>10085</v>
      </c>
      <c r="B142" s="1" t="s">
        <v>538</v>
      </c>
      <c r="C142" s="1" t="s">
        <v>539</v>
      </c>
      <c r="D142" s="1" t="s">
        <v>540</v>
      </c>
      <c r="E142" s="1" t="s">
        <v>13</v>
      </c>
      <c r="F142" s="1" t="s">
        <v>541</v>
      </c>
      <c r="G142" s="1">
        <v>4</v>
      </c>
      <c r="H142" s="1" t="s">
        <v>29</v>
      </c>
      <c r="I142" s="1">
        <v>0</v>
      </c>
      <c r="J142" s="1" t="s">
        <v>23</v>
      </c>
      <c r="K142" s="1">
        <v>40000</v>
      </c>
      <c r="L142" s="1" t="s">
        <v>24</v>
      </c>
      <c r="M142" s="3" t="s">
        <v>18</v>
      </c>
    </row>
    <row r="143" spans="1:13" x14ac:dyDescent="0.25">
      <c r="A143" s="2">
        <v>10086</v>
      </c>
      <c r="B143" s="1" t="s">
        <v>542</v>
      </c>
      <c r="C143" s="1" t="s">
        <v>543</v>
      </c>
      <c r="D143" s="1" t="s">
        <v>544</v>
      </c>
      <c r="E143" s="1" t="s">
        <v>13</v>
      </c>
      <c r="F143" s="1" t="s">
        <v>545</v>
      </c>
      <c r="G143" s="1">
        <v>1</v>
      </c>
      <c r="H143" s="1" t="s">
        <v>35</v>
      </c>
      <c r="I143" s="1">
        <v>0</v>
      </c>
      <c r="J143" s="1" t="s">
        <v>23</v>
      </c>
      <c r="K143" s="1">
        <v>81613</v>
      </c>
      <c r="L143" s="1" t="s">
        <v>46</v>
      </c>
      <c r="M143" s="3" t="s">
        <v>41</v>
      </c>
    </row>
    <row r="144" spans="1:13" x14ac:dyDescent="0.25">
      <c r="A144" s="2">
        <v>299898</v>
      </c>
      <c r="B144" s="1" t="s">
        <v>546</v>
      </c>
      <c r="C144" s="1" t="s">
        <v>547</v>
      </c>
      <c r="D144" s="1" t="s">
        <v>548</v>
      </c>
      <c r="E144" s="1" t="s">
        <v>13</v>
      </c>
      <c r="F144" s="1" t="s">
        <v>549</v>
      </c>
      <c r="G144" s="1">
        <v>8</v>
      </c>
      <c r="H144" s="1" t="s">
        <v>29</v>
      </c>
      <c r="I144" s="1">
        <v>0</v>
      </c>
      <c r="J144" s="1" t="s">
        <v>23</v>
      </c>
      <c r="K144" s="1">
        <v>63315</v>
      </c>
      <c r="L144" s="1" t="s">
        <v>125</v>
      </c>
      <c r="M144" s="3" t="s">
        <v>41</v>
      </c>
    </row>
    <row r="145" spans="1:13" x14ac:dyDescent="0.25">
      <c r="A145" s="2">
        <v>10087</v>
      </c>
      <c r="B145" s="1" t="s">
        <v>527</v>
      </c>
      <c r="C145" s="1" t="s">
        <v>550</v>
      </c>
      <c r="D145" s="1" t="s">
        <v>551</v>
      </c>
      <c r="E145" s="1" t="s">
        <v>33</v>
      </c>
      <c r="F145" s="1" t="s">
        <v>552</v>
      </c>
      <c r="G145" s="1">
        <v>9</v>
      </c>
      <c r="H145" s="1" t="s">
        <v>29</v>
      </c>
      <c r="I145" s="1">
        <v>0</v>
      </c>
      <c r="J145" s="1" t="s">
        <v>23</v>
      </c>
      <c r="K145" s="1">
        <v>96750</v>
      </c>
      <c r="L145" s="1" t="s">
        <v>40</v>
      </c>
      <c r="M145" s="3" t="s">
        <v>41</v>
      </c>
    </row>
    <row r="146" spans="1:13" x14ac:dyDescent="0.25">
      <c r="A146" s="2">
        <v>10088</v>
      </c>
      <c r="B146" s="1" t="s">
        <v>553</v>
      </c>
      <c r="C146" s="1" t="s">
        <v>554</v>
      </c>
      <c r="D146" s="1" t="s">
        <v>555</v>
      </c>
      <c r="E146" s="1" t="s">
        <v>33</v>
      </c>
      <c r="F146" s="1" t="s">
        <v>556</v>
      </c>
      <c r="G146" s="1">
        <v>9</v>
      </c>
      <c r="H146" s="1" t="s">
        <v>29</v>
      </c>
      <c r="I146" s="1">
        <v>1</v>
      </c>
      <c r="J146" s="1" t="s">
        <v>557</v>
      </c>
      <c r="K146" s="1">
        <v>65957</v>
      </c>
      <c r="L146" s="1" t="s">
        <v>40</v>
      </c>
      <c r="M146" s="3" t="s">
        <v>41</v>
      </c>
    </row>
    <row r="147" spans="1:13" x14ac:dyDescent="0.25">
      <c r="A147" s="2">
        <v>10088</v>
      </c>
      <c r="B147" s="1" t="s">
        <v>553</v>
      </c>
      <c r="C147" s="1" t="s">
        <v>554</v>
      </c>
      <c r="D147" s="1" t="s">
        <v>555</v>
      </c>
      <c r="E147" s="1" t="s">
        <v>33</v>
      </c>
      <c r="F147" s="1" t="s">
        <v>556</v>
      </c>
      <c r="G147" s="1">
        <v>9</v>
      </c>
      <c r="H147" s="1" t="s">
        <v>29</v>
      </c>
      <c r="I147" s="1">
        <v>1</v>
      </c>
      <c r="J147" s="1" t="s">
        <v>557</v>
      </c>
      <c r="K147" s="1">
        <v>65957</v>
      </c>
      <c r="L147" s="1" t="s">
        <v>89</v>
      </c>
      <c r="M147" s="3" t="s">
        <v>41</v>
      </c>
    </row>
    <row r="148" spans="1:13" x14ac:dyDescent="0.25">
      <c r="A148" s="2">
        <v>10089</v>
      </c>
      <c r="B148" s="1" t="s">
        <v>558</v>
      </c>
      <c r="C148" s="1" t="s">
        <v>559</v>
      </c>
      <c r="D148" s="1" t="s">
        <v>560</v>
      </c>
      <c r="E148" s="1" t="s">
        <v>33</v>
      </c>
      <c r="F148" s="1" t="s">
        <v>561</v>
      </c>
      <c r="G148" s="1">
        <v>4</v>
      </c>
      <c r="H148" s="1" t="s">
        <v>15</v>
      </c>
      <c r="I148" s="1">
        <v>0</v>
      </c>
      <c r="J148" s="1" t="s">
        <v>23</v>
      </c>
      <c r="K148" s="1">
        <v>56469</v>
      </c>
      <c r="L148" s="1" t="s">
        <v>40</v>
      </c>
      <c r="M148" s="3" t="s">
        <v>41</v>
      </c>
    </row>
    <row r="149" spans="1:13" x14ac:dyDescent="0.25">
      <c r="A149" s="2">
        <v>425023</v>
      </c>
      <c r="B149" s="1" t="s">
        <v>562</v>
      </c>
      <c r="C149" s="1" t="s">
        <v>563</v>
      </c>
      <c r="D149" s="1" t="s">
        <v>564</v>
      </c>
      <c r="E149" s="1" t="s">
        <v>13</v>
      </c>
      <c r="F149" s="1" t="s">
        <v>565</v>
      </c>
      <c r="G149" s="1">
        <v>8</v>
      </c>
      <c r="H149" s="1" t="s">
        <v>15</v>
      </c>
      <c r="I149" s="1">
        <v>0</v>
      </c>
      <c r="J149" s="1" t="s">
        <v>23</v>
      </c>
      <c r="K149" s="1">
        <v>45682</v>
      </c>
      <c r="L149" s="1" t="s">
        <v>17</v>
      </c>
      <c r="M149" s="3" t="s">
        <v>18</v>
      </c>
    </row>
    <row r="150" spans="1:13" x14ac:dyDescent="0.25">
      <c r="A150" s="2">
        <v>10090</v>
      </c>
      <c r="B150" s="1" t="s">
        <v>566</v>
      </c>
      <c r="C150" s="1" t="s">
        <v>567</v>
      </c>
      <c r="D150" s="1" t="s">
        <v>568</v>
      </c>
      <c r="E150" s="1" t="s">
        <v>13</v>
      </c>
      <c r="F150" s="1" t="s">
        <v>569</v>
      </c>
      <c r="G150" s="1">
        <v>7</v>
      </c>
      <c r="H150" s="1" t="s">
        <v>15</v>
      </c>
      <c r="I150" s="1">
        <v>0</v>
      </c>
      <c r="J150" s="1" t="s">
        <v>23</v>
      </c>
      <c r="K150" s="1">
        <v>44978</v>
      </c>
      <c r="L150" s="1" t="s">
        <v>17</v>
      </c>
      <c r="M150" s="3" t="s">
        <v>18</v>
      </c>
    </row>
    <row r="151" spans="1:13" x14ac:dyDescent="0.25">
      <c r="A151" s="2">
        <v>10091</v>
      </c>
      <c r="B151" s="1" t="s">
        <v>570</v>
      </c>
      <c r="C151" s="1" t="s">
        <v>571</v>
      </c>
      <c r="D151" s="1" t="s">
        <v>572</v>
      </c>
      <c r="E151" s="1" t="s">
        <v>13</v>
      </c>
      <c r="F151" s="1" t="s">
        <v>573</v>
      </c>
      <c r="G151" s="1">
        <v>5</v>
      </c>
      <c r="H151" s="1" t="s">
        <v>29</v>
      </c>
      <c r="I151" s="1">
        <v>0</v>
      </c>
      <c r="J151" s="1" t="s">
        <v>23</v>
      </c>
      <c r="K151" s="1">
        <v>40000</v>
      </c>
      <c r="L151" s="1" t="s">
        <v>17</v>
      </c>
      <c r="M151" s="3" t="s">
        <v>18</v>
      </c>
    </row>
    <row r="152" spans="1:13" x14ac:dyDescent="0.25">
      <c r="A152" s="2">
        <v>411614</v>
      </c>
      <c r="B152" s="1" t="s">
        <v>574</v>
      </c>
      <c r="C152" s="1" t="s">
        <v>575</v>
      </c>
      <c r="D152" s="1" t="s">
        <v>576</v>
      </c>
      <c r="E152" s="1" t="s">
        <v>13</v>
      </c>
      <c r="F152" s="1" t="s">
        <v>577</v>
      </c>
      <c r="G152" s="1">
        <v>1</v>
      </c>
      <c r="H152" s="1" t="s">
        <v>35</v>
      </c>
      <c r="I152" s="1">
        <v>0</v>
      </c>
      <c r="J152" s="1" t="s">
        <v>23</v>
      </c>
      <c r="K152" s="1">
        <v>54770</v>
      </c>
      <c r="L152" s="1" t="s">
        <v>17</v>
      </c>
      <c r="M152" s="3" t="s">
        <v>18</v>
      </c>
    </row>
    <row r="153" spans="1:13" x14ac:dyDescent="0.25">
      <c r="A153" s="2">
        <v>10092</v>
      </c>
      <c r="B153" s="1" t="s">
        <v>578</v>
      </c>
      <c r="C153" s="1" t="s">
        <v>579</v>
      </c>
      <c r="D153" s="1" t="s">
        <v>580</v>
      </c>
      <c r="E153" s="1" t="s">
        <v>33</v>
      </c>
      <c r="F153" s="1" t="s">
        <v>581</v>
      </c>
      <c r="G153" s="1">
        <v>10</v>
      </c>
      <c r="H153" s="1" t="s">
        <v>15</v>
      </c>
      <c r="I153" s="1">
        <v>0</v>
      </c>
      <c r="J153" s="1" t="s">
        <v>23</v>
      </c>
      <c r="K153" s="1">
        <v>53977</v>
      </c>
      <c r="L153" s="1" t="s">
        <v>17</v>
      </c>
      <c r="M153" s="3" t="s">
        <v>55</v>
      </c>
    </row>
    <row r="154" spans="1:13" x14ac:dyDescent="0.25">
      <c r="A154" s="2">
        <v>10093</v>
      </c>
      <c r="B154" s="1" t="s">
        <v>582</v>
      </c>
      <c r="C154" s="1" t="s">
        <v>583</v>
      </c>
      <c r="D154" s="1" t="s">
        <v>584</v>
      </c>
      <c r="E154" s="1" t="s">
        <v>13</v>
      </c>
      <c r="F154" s="1" t="s">
        <v>585</v>
      </c>
      <c r="G154" s="1">
        <v>8</v>
      </c>
      <c r="H154" s="1" t="s">
        <v>35</v>
      </c>
      <c r="I154" s="1">
        <v>0</v>
      </c>
      <c r="J154" s="1" t="s">
        <v>23</v>
      </c>
      <c r="K154" s="1">
        <v>67856</v>
      </c>
      <c r="L154" s="1" t="s">
        <v>40</v>
      </c>
      <c r="M154" s="3" t="s">
        <v>41</v>
      </c>
    </row>
    <row r="155" spans="1:13" x14ac:dyDescent="0.25">
      <c r="A155" s="2">
        <v>425656</v>
      </c>
      <c r="B155" s="1" t="s">
        <v>586</v>
      </c>
      <c r="C155" s="1" t="s">
        <v>587</v>
      </c>
      <c r="D155" s="1" t="s">
        <v>588</v>
      </c>
      <c r="E155" s="1" t="s">
        <v>13</v>
      </c>
      <c r="F155" s="1" t="s">
        <v>589</v>
      </c>
      <c r="G155" s="1">
        <v>4</v>
      </c>
      <c r="H155" s="1" t="s">
        <v>35</v>
      </c>
      <c r="I155" s="1">
        <v>0</v>
      </c>
      <c r="J155" s="1" t="s">
        <v>23</v>
      </c>
      <c r="K155" s="1">
        <v>40000</v>
      </c>
      <c r="L155" s="1" t="s">
        <v>61</v>
      </c>
      <c r="M155" s="3" t="s">
        <v>41</v>
      </c>
    </row>
    <row r="156" spans="1:13" x14ac:dyDescent="0.25">
      <c r="A156" s="2">
        <v>10094</v>
      </c>
      <c r="B156" s="1" t="s">
        <v>590</v>
      </c>
      <c r="C156" s="1" t="s">
        <v>591</v>
      </c>
      <c r="D156" s="1" t="s">
        <v>592</v>
      </c>
      <c r="E156" s="1" t="s">
        <v>33</v>
      </c>
      <c r="F156" s="1" t="s">
        <v>593</v>
      </c>
      <c r="G156" s="1">
        <v>10</v>
      </c>
      <c r="H156" s="1" t="s">
        <v>35</v>
      </c>
      <c r="I156" s="1">
        <v>0</v>
      </c>
      <c r="J156" s="1" t="s">
        <v>23</v>
      </c>
      <c r="K156" s="1">
        <v>58001</v>
      </c>
      <c r="L156" s="1" t="s">
        <v>61</v>
      </c>
      <c r="M156" s="3" t="s">
        <v>102</v>
      </c>
    </row>
    <row r="157" spans="1:13" x14ac:dyDescent="0.25">
      <c r="A157" s="2">
        <v>10095</v>
      </c>
      <c r="B157" s="1" t="s">
        <v>594</v>
      </c>
      <c r="C157" s="1" t="s">
        <v>595</v>
      </c>
      <c r="D157" s="1" t="s">
        <v>596</v>
      </c>
      <c r="E157" s="1" t="s">
        <v>13</v>
      </c>
      <c r="F157" s="1" t="s">
        <v>597</v>
      </c>
      <c r="G157" s="1">
        <v>8</v>
      </c>
      <c r="H157" s="1" t="s">
        <v>15</v>
      </c>
      <c r="I157" s="1">
        <v>0</v>
      </c>
      <c r="J157" s="1" t="s">
        <v>23</v>
      </c>
      <c r="K157" s="1">
        <v>63668</v>
      </c>
      <c r="L157" s="1" t="s">
        <v>40</v>
      </c>
      <c r="M157" s="3" t="s">
        <v>41</v>
      </c>
    </row>
    <row r="158" spans="1:13" x14ac:dyDescent="0.25">
      <c r="A158" s="2">
        <v>252000</v>
      </c>
      <c r="B158" s="1" t="s">
        <v>598</v>
      </c>
      <c r="C158" s="1" t="s">
        <v>599</v>
      </c>
      <c r="D158" s="1" t="s">
        <v>600</v>
      </c>
      <c r="E158" s="1" t="s">
        <v>33</v>
      </c>
      <c r="F158" s="1" t="s">
        <v>601</v>
      </c>
      <c r="G158" s="1">
        <v>10</v>
      </c>
      <c r="H158" s="1" t="s">
        <v>35</v>
      </c>
      <c r="I158" s="1">
        <v>0</v>
      </c>
      <c r="J158" s="1" t="s">
        <v>23</v>
      </c>
      <c r="K158" s="1">
        <v>40000</v>
      </c>
      <c r="L158" s="1" t="s">
        <v>71</v>
      </c>
      <c r="M158" s="3" t="s">
        <v>66</v>
      </c>
    </row>
    <row r="159" spans="1:13" x14ac:dyDescent="0.25">
      <c r="A159" s="2">
        <v>10096</v>
      </c>
      <c r="B159" s="1" t="s">
        <v>602</v>
      </c>
      <c r="C159" s="1" t="s">
        <v>603</v>
      </c>
      <c r="D159" s="1" t="s">
        <v>604</v>
      </c>
      <c r="E159" s="1" t="s">
        <v>13</v>
      </c>
      <c r="F159" s="1" t="s">
        <v>605</v>
      </c>
      <c r="G159" s="1">
        <v>1</v>
      </c>
      <c r="H159" s="1" t="s">
        <v>370</v>
      </c>
      <c r="I159" s="1">
        <v>0</v>
      </c>
      <c r="J159" s="1" t="s">
        <v>23</v>
      </c>
      <c r="K159" s="1">
        <v>61395</v>
      </c>
      <c r="L159" s="1" t="s">
        <v>24</v>
      </c>
      <c r="M159" s="3" t="s">
        <v>55</v>
      </c>
    </row>
    <row r="160" spans="1:13" x14ac:dyDescent="0.25">
      <c r="A160" s="2">
        <v>10097</v>
      </c>
      <c r="B160" s="1" t="s">
        <v>606</v>
      </c>
      <c r="C160" s="1" t="s">
        <v>607</v>
      </c>
      <c r="D160" s="1" t="s">
        <v>608</v>
      </c>
      <c r="E160" s="1" t="s">
        <v>13</v>
      </c>
      <c r="F160" s="1" t="s">
        <v>609</v>
      </c>
      <c r="G160" s="1">
        <v>2</v>
      </c>
      <c r="H160" s="1" t="s">
        <v>29</v>
      </c>
      <c r="I160" s="1">
        <v>0</v>
      </c>
      <c r="J160" s="1" t="s">
        <v>23</v>
      </c>
      <c r="K160" s="1">
        <v>44886</v>
      </c>
      <c r="L160" s="1" t="s">
        <v>61</v>
      </c>
      <c r="M160" s="3" t="s">
        <v>41</v>
      </c>
    </row>
    <row r="161" spans="1:13" x14ac:dyDescent="0.25">
      <c r="A161" s="2">
        <v>10098</v>
      </c>
      <c r="B161" s="1" t="s">
        <v>610</v>
      </c>
      <c r="C161" s="1" t="s">
        <v>611</v>
      </c>
      <c r="D161" s="1" t="s">
        <v>612</v>
      </c>
      <c r="E161" s="1" t="s">
        <v>33</v>
      </c>
      <c r="F161" s="1" t="s">
        <v>613</v>
      </c>
      <c r="G161" s="1">
        <v>4</v>
      </c>
      <c r="H161" s="1" t="s">
        <v>29</v>
      </c>
      <c r="I161" s="1">
        <v>0</v>
      </c>
      <c r="J161" s="1" t="s">
        <v>23</v>
      </c>
      <c r="K161" s="1">
        <v>40000</v>
      </c>
      <c r="L161" s="1" t="s">
        <v>24</v>
      </c>
      <c r="M161" s="3" t="s">
        <v>18</v>
      </c>
    </row>
    <row r="162" spans="1:13" x14ac:dyDescent="0.25">
      <c r="A162" s="2">
        <v>10098</v>
      </c>
      <c r="B162" s="1" t="s">
        <v>610</v>
      </c>
      <c r="C162" s="1" t="s">
        <v>611</v>
      </c>
      <c r="D162" s="1" t="s">
        <v>612</v>
      </c>
      <c r="E162" s="1" t="s">
        <v>33</v>
      </c>
      <c r="F162" s="1" t="s">
        <v>613</v>
      </c>
      <c r="G162" s="1">
        <v>4</v>
      </c>
      <c r="H162" s="1" t="s">
        <v>29</v>
      </c>
      <c r="I162" s="1">
        <v>0</v>
      </c>
      <c r="J162" s="1" t="s">
        <v>23</v>
      </c>
      <c r="K162" s="1">
        <v>40000</v>
      </c>
      <c r="L162" s="1" t="s">
        <v>89</v>
      </c>
      <c r="M162" s="3" t="s">
        <v>18</v>
      </c>
    </row>
    <row r="163" spans="1:13" x14ac:dyDescent="0.25">
      <c r="A163" s="2">
        <v>103676</v>
      </c>
      <c r="B163" s="1" t="s">
        <v>614</v>
      </c>
      <c r="C163" s="1" t="s">
        <v>615</v>
      </c>
      <c r="D163" s="1" t="s">
        <v>616</v>
      </c>
      <c r="E163" s="1" t="s">
        <v>33</v>
      </c>
      <c r="F163" s="1" t="s">
        <v>617</v>
      </c>
      <c r="G163" s="1">
        <v>3</v>
      </c>
      <c r="H163" s="1" t="s">
        <v>35</v>
      </c>
      <c r="I163" s="1">
        <v>0</v>
      </c>
      <c r="J163" s="1" t="s">
        <v>23</v>
      </c>
      <c r="K163" s="1">
        <v>62128</v>
      </c>
      <c r="L163" s="1" t="s">
        <v>24</v>
      </c>
      <c r="M163" s="3" t="s">
        <v>18</v>
      </c>
    </row>
    <row r="164" spans="1:13" x14ac:dyDescent="0.25">
      <c r="A164" s="2">
        <v>103676</v>
      </c>
      <c r="B164" s="1" t="s">
        <v>614</v>
      </c>
      <c r="C164" s="1" t="s">
        <v>615</v>
      </c>
      <c r="D164" s="1" t="s">
        <v>616</v>
      </c>
      <c r="E164" s="1" t="s">
        <v>33</v>
      </c>
      <c r="F164" s="1" t="s">
        <v>617</v>
      </c>
      <c r="G164" s="1">
        <v>3</v>
      </c>
      <c r="H164" s="1" t="s">
        <v>35</v>
      </c>
      <c r="I164" s="1">
        <v>0</v>
      </c>
      <c r="J164" s="1" t="s">
        <v>23</v>
      </c>
      <c r="K164" s="1">
        <v>62128</v>
      </c>
      <c r="L164" s="1" t="s">
        <v>17</v>
      </c>
      <c r="M164" s="3" t="s">
        <v>18</v>
      </c>
    </row>
    <row r="165" spans="1:13" x14ac:dyDescent="0.25">
      <c r="A165" s="2">
        <v>10099</v>
      </c>
      <c r="B165" s="1" t="s">
        <v>618</v>
      </c>
      <c r="C165" s="1" t="s">
        <v>619</v>
      </c>
      <c r="D165" s="1" t="s">
        <v>620</v>
      </c>
      <c r="E165" s="1" t="s">
        <v>33</v>
      </c>
      <c r="F165" s="1" t="s">
        <v>621</v>
      </c>
      <c r="G165" s="1">
        <v>5</v>
      </c>
      <c r="H165" s="1" t="s">
        <v>15</v>
      </c>
      <c r="I165" s="1">
        <v>0</v>
      </c>
      <c r="J165" s="1" t="s">
        <v>23</v>
      </c>
      <c r="K165" s="1">
        <v>68781</v>
      </c>
      <c r="L165" s="1" t="s">
        <v>40</v>
      </c>
      <c r="M165" s="3" t="s">
        <v>41</v>
      </c>
    </row>
    <row r="166" spans="1:13" x14ac:dyDescent="0.25">
      <c r="A166" s="2">
        <v>10100</v>
      </c>
      <c r="B166" s="1" t="s">
        <v>622</v>
      </c>
      <c r="C166" s="1" t="s">
        <v>623</v>
      </c>
      <c r="D166" s="1" t="s">
        <v>624</v>
      </c>
      <c r="E166" s="1" t="s">
        <v>33</v>
      </c>
      <c r="F166" s="1" t="s">
        <v>625</v>
      </c>
      <c r="G166" s="1">
        <v>6</v>
      </c>
      <c r="H166" s="1" t="s">
        <v>35</v>
      </c>
      <c r="I166" s="1">
        <v>0</v>
      </c>
      <c r="J166" s="1" t="s">
        <v>23</v>
      </c>
      <c r="K166" s="1">
        <v>54398</v>
      </c>
      <c r="L166" s="1" t="s">
        <v>46</v>
      </c>
      <c r="M166" s="3" t="s">
        <v>41</v>
      </c>
    </row>
    <row r="167" spans="1:13" x14ac:dyDescent="0.25">
      <c r="A167" s="2">
        <v>93916</v>
      </c>
      <c r="B167" s="1" t="s">
        <v>295</v>
      </c>
      <c r="C167" s="1" t="s">
        <v>626</v>
      </c>
      <c r="D167" s="1" t="s">
        <v>627</v>
      </c>
      <c r="E167" s="1" t="s">
        <v>33</v>
      </c>
      <c r="F167" s="1" t="s">
        <v>628</v>
      </c>
      <c r="G167" s="1">
        <v>3</v>
      </c>
      <c r="H167" s="1" t="s">
        <v>35</v>
      </c>
      <c r="I167" s="1">
        <v>0</v>
      </c>
      <c r="J167" s="1" t="s">
        <v>23</v>
      </c>
      <c r="K167" s="1">
        <v>53040</v>
      </c>
      <c r="L167" s="1" t="s">
        <v>17</v>
      </c>
      <c r="M167" s="3" t="s">
        <v>55</v>
      </c>
    </row>
    <row r="168" spans="1:13" x14ac:dyDescent="0.25">
      <c r="A168" s="2">
        <v>93916</v>
      </c>
      <c r="B168" s="1" t="s">
        <v>295</v>
      </c>
      <c r="C168" s="1" t="s">
        <v>626</v>
      </c>
      <c r="D168" s="1" t="s">
        <v>627</v>
      </c>
      <c r="E168" s="1" t="s">
        <v>33</v>
      </c>
      <c r="F168" s="1" t="s">
        <v>628</v>
      </c>
      <c r="G168" s="1">
        <v>3</v>
      </c>
      <c r="H168" s="1" t="s">
        <v>35</v>
      </c>
      <c r="I168" s="1">
        <v>0</v>
      </c>
      <c r="J168" s="1" t="s">
        <v>23</v>
      </c>
      <c r="K168" s="1">
        <v>53040</v>
      </c>
      <c r="L168" s="1" t="s">
        <v>61</v>
      </c>
      <c r="M168" s="3" t="s">
        <v>55</v>
      </c>
    </row>
    <row r="169" spans="1:13" x14ac:dyDescent="0.25">
      <c r="A169" s="2">
        <v>10101</v>
      </c>
      <c r="B169" s="1" t="s">
        <v>629</v>
      </c>
      <c r="C169" s="1" t="s">
        <v>630</v>
      </c>
      <c r="D169" s="1" t="s">
        <v>180</v>
      </c>
      <c r="E169" s="1" t="s">
        <v>33</v>
      </c>
      <c r="F169" s="1" t="s">
        <v>631</v>
      </c>
      <c r="G169" s="1">
        <v>9</v>
      </c>
      <c r="H169" s="1" t="s">
        <v>35</v>
      </c>
      <c r="I169" s="1">
        <v>0</v>
      </c>
      <c r="J169" s="1" t="s">
        <v>23</v>
      </c>
      <c r="K169" s="1">
        <v>66591</v>
      </c>
      <c r="L169" s="1" t="s">
        <v>40</v>
      </c>
      <c r="M169" s="3" t="s">
        <v>41</v>
      </c>
    </row>
    <row r="170" spans="1:13" x14ac:dyDescent="0.25">
      <c r="A170" s="2">
        <v>10102</v>
      </c>
      <c r="B170" s="1" t="s">
        <v>632</v>
      </c>
      <c r="C170" s="1" t="s">
        <v>633</v>
      </c>
      <c r="D170" s="1" t="s">
        <v>634</v>
      </c>
      <c r="E170" s="1" t="s">
        <v>33</v>
      </c>
      <c r="F170" s="1" t="s">
        <v>635</v>
      </c>
      <c r="G170" s="1">
        <v>3</v>
      </c>
      <c r="H170" s="1" t="s">
        <v>29</v>
      </c>
      <c r="I170" s="1">
        <v>1</v>
      </c>
      <c r="J170" s="1" t="s">
        <v>636</v>
      </c>
      <c r="K170" s="1">
        <v>44380</v>
      </c>
      <c r="L170" s="1" t="s">
        <v>24</v>
      </c>
      <c r="M170" s="3" t="s">
        <v>55</v>
      </c>
    </row>
    <row r="171" spans="1:13" x14ac:dyDescent="0.25">
      <c r="A171" s="2">
        <v>430653</v>
      </c>
      <c r="B171" s="1" t="s">
        <v>637</v>
      </c>
      <c r="C171" s="1" t="s">
        <v>638</v>
      </c>
      <c r="D171" s="1" t="s">
        <v>639</v>
      </c>
      <c r="E171" s="1" t="s">
        <v>33</v>
      </c>
      <c r="F171" s="1" t="s">
        <v>640</v>
      </c>
      <c r="G171" s="1">
        <v>4</v>
      </c>
      <c r="H171" s="1" t="s">
        <v>29</v>
      </c>
      <c r="I171" s="1">
        <v>0</v>
      </c>
      <c r="J171" s="1" t="s">
        <v>23</v>
      </c>
      <c r="K171" s="1">
        <v>69077</v>
      </c>
      <c r="L171" s="1" t="s">
        <v>17</v>
      </c>
      <c r="M171" s="3" t="s">
        <v>18</v>
      </c>
    </row>
    <row r="172" spans="1:13" x14ac:dyDescent="0.25">
      <c r="A172" s="2">
        <v>10103</v>
      </c>
      <c r="B172" s="1" t="s">
        <v>641</v>
      </c>
      <c r="C172" s="1" t="s">
        <v>642</v>
      </c>
      <c r="D172" s="1" t="s">
        <v>643</v>
      </c>
      <c r="E172" s="1" t="s">
        <v>13</v>
      </c>
      <c r="F172" s="1" t="s">
        <v>644</v>
      </c>
      <c r="G172" s="1">
        <v>5</v>
      </c>
      <c r="H172" s="1" t="s">
        <v>35</v>
      </c>
      <c r="I172" s="1">
        <v>0</v>
      </c>
      <c r="J172" s="1" t="s">
        <v>23</v>
      </c>
      <c r="K172" s="1">
        <v>68158</v>
      </c>
      <c r="L172" s="1" t="s">
        <v>17</v>
      </c>
      <c r="M172" s="3" t="s">
        <v>55</v>
      </c>
    </row>
    <row r="173" spans="1:13" x14ac:dyDescent="0.25">
      <c r="A173" s="2">
        <v>10104</v>
      </c>
      <c r="B173" s="1" t="s">
        <v>645</v>
      </c>
      <c r="C173" s="1" t="s">
        <v>646</v>
      </c>
      <c r="D173" s="1" t="s">
        <v>145</v>
      </c>
      <c r="E173" s="1" t="s">
        <v>13</v>
      </c>
      <c r="F173" s="1" t="s">
        <v>647</v>
      </c>
      <c r="G173" s="1">
        <v>5</v>
      </c>
      <c r="H173" s="1" t="s">
        <v>35</v>
      </c>
      <c r="I173" s="1">
        <v>0</v>
      </c>
      <c r="J173" s="1" t="s">
        <v>23</v>
      </c>
      <c r="K173" s="1">
        <v>45312</v>
      </c>
      <c r="L173" s="1" t="s">
        <v>61</v>
      </c>
      <c r="M173" s="3" t="s">
        <v>102</v>
      </c>
    </row>
    <row r="174" spans="1:13" x14ac:dyDescent="0.25">
      <c r="A174" s="2">
        <v>293744</v>
      </c>
      <c r="B174" s="1" t="s">
        <v>648</v>
      </c>
      <c r="C174" s="1" t="s">
        <v>649</v>
      </c>
      <c r="D174" s="1" t="s">
        <v>650</v>
      </c>
      <c r="E174" s="1" t="s">
        <v>13</v>
      </c>
      <c r="F174" s="1" t="s">
        <v>651</v>
      </c>
      <c r="G174" s="1">
        <v>2</v>
      </c>
      <c r="H174" s="1" t="s">
        <v>35</v>
      </c>
      <c r="I174" s="1">
        <v>0</v>
      </c>
      <c r="J174" s="1" t="s">
        <v>23</v>
      </c>
      <c r="K174" s="1">
        <v>40000</v>
      </c>
      <c r="L174" s="1" t="s">
        <v>108</v>
      </c>
      <c r="M174" s="3" t="s">
        <v>41</v>
      </c>
    </row>
    <row r="175" spans="1:13" x14ac:dyDescent="0.25">
      <c r="A175" s="2">
        <v>293744</v>
      </c>
      <c r="B175" s="1" t="s">
        <v>648</v>
      </c>
      <c r="C175" s="1" t="s">
        <v>649</v>
      </c>
      <c r="D175" s="1" t="s">
        <v>650</v>
      </c>
      <c r="E175" s="1" t="s">
        <v>13</v>
      </c>
      <c r="F175" s="1" t="s">
        <v>651</v>
      </c>
      <c r="G175" s="1">
        <v>2</v>
      </c>
      <c r="H175" s="1" t="s">
        <v>35</v>
      </c>
      <c r="I175" s="1">
        <v>0</v>
      </c>
      <c r="J175" s="1" t="s">
        <v>23</v>
      </c>
      <c r="K175" s="1">
        <v>40000</v>
      </c>
      <c r="L175" s="1" t="s">
        <v>46</v>
      </c>
      <c r="M175" s="3" t="s">
        <v>41</v>
      </c>
    </row>
    <row r="176" spans="1:13" x14ac:dyDescent="0.25">
      <c r="A176" s="2">
        <v>10105</v>
      </c>
      <c r="B176" s="1" t="s">
        <v>652</v>
      </c>
      <c r="C176" s="1" t="s">
        <v>459</v>
      </c>
      <c r="D176" s="1" t="s">
        <v>78</v>
      </c>
      <c r="E176" s="1" t="s">
        <v>13</v>
      </c>
      <c r="F176" s="1" t="s">
        <v>653</v>
      </c>
      <c r="G176" s="1">
        <v>2</v>
      </c>
      <c r="H176" s="1" t="s">
        <v>15</v>
      </c>
      <c r="I176" s="1">
        <v>0</v>
      </c>
      <c r="J176" s="1" t="s">
        <v>23</v>
      </c>
      <c r="K176" s="1">
        <v>59258</v>
      </c>
      <c r="L176" s="1" t="s">
        <v>46</v>
      </c>
      <c r="M176" s="3" t="s">
        <v>41</v>
      </c>
    </row>
    <row r="177" spans="1:13" x14ac:dyDescent="0.25">
      <c r="A177" s="2">
        <v>10106</v>
      </c>
      <c r="B177" s="1" t="s">
        <v>654</v>
      </c>
      <c r="C177" s="1" t="s">
        <v>655</v>
      </c>
      <c r="D177" s="1" t="s">
        <v>656</v>
      </c>
      <c r="E177" s="1" t="s">
        <v>13</v>
      </c>
      <c r="F177" s="1" t="s">
        <v>657</v>
      </c>
      <c r="G177" s="1">
        <v>4</v>
      </c>
      <c r="H177" s="1" t="s">
        <v>15</v>
      </c>
      <c r="I177" s="1">
        <v>0</v>
      </c>
      <c r="J177" s="1" t="s">
        <v>23</v>
      </c>
      <c r="K177" s="1">
        <v>62928</v>
      </c>
      <c r="L177" s="1" t="s">
        <v>24</v>
      </c>
      <c r="M177" s="3" t="s">
        <v>18</v>
      </c>
    </row>
    <row r="178" spans="1:13" x14ac:dyDescent="0.25">
      <c r="A178" s="2">
        <v>222134</v>
      </c>
      <c r="B178" s="1" t="s">
        <v>658</v>
      </c>
      <c r="C178" s="1" t="s">
        <v>659</v>
      </c>
      <c r="D178" s="1" t="s">
        <v>660</v>
      </c>
      <c r="E178" s="1" t="s">
        <v>13</v>
      </c>
      <c r="F178" s="1" t="s">
        <v>661</v>
      </c>
      <c r="G178" s="1">
        <v>3</v>
      </c>
      <c r="H178" s="1" t="s">
        <v>29</v>
      </c>
      <c r="I178" s="1">
        <v>0</v>
      </c>
      <c r="J178" s="1" t="s">
        <v>23</v>
      </c>
      <c r="K178" s="1">
        <v>48391</v>
      </c>
      <c r="L178" s="1" t="s">
        <v>17</v>
      </c>
      <c r="M178" s="3" t="s">
        <v>18</v>
      </c>
    </row>
    <row r="179" spans="1:13" x14ac:dyDescent="0.25">
      <c r="A179" s="2">
        <v>10107</v>
      </c>
      <c r="B179" s="1" t="s">
        <v>662</v>
      </c>
      <c r="C179" s="1" t="s">
        <v>663</v>
      </c>
      <c r="D179" s="1" t="s">
        <v>664</v>
      </c>
      <c r="E179" s="1" t="s">
        <v>33</v>
      </c>
      <c r="F179" s="1" t="s">
        <v>665</v>
      </c>
      <c r="G179" s="1">
        <v>7</v>
      </c>
      <c r="H179" s="1" t="s">
        <v>370</v>
      </c>
      <c r="I179" s="1">
        <v>0</v>
      </c>
      <c r="J179" s="1" t="s">
        <v>23</v>
      </c>
      <c r="K179" s="1">
        <v>93159</v>
      </c>
      <c r="L179" s="1" t="s">
        <v>40</v>
      </c>
      <c r="M179" s="3" t="s">
        <v>102</v>
      </c>
    </row>
    <row r="180" spans="1:13" x14ac:dyDescent="0.25">
      <c r="A180" s="2">
        <v>10108</v>
      </c>
      <c r="B180" s="1" t="s">
        <v>666</v>
      </c>
      <c r="C180" s="1" t="s">
        <v>667</v>
      </c>
      <c r="D180" s="1" t="s">
        <v>668</v>
      </c>
      <c r="E180" s="1" t="s">
        <v>13</v>
      </c>
      <c r="F180" s="1" t="s">
        <v>669</v>
      </c>
      <c r="G180" s="1">
        <v>2</v>
      </c>
      <c r="H180" s="1" t="s">
        <v>29</v>
      </c>
      <c r="I180" s="1">
        <v>0</v>
      </c>
      <c r="J180" s="1" t="s">
        <v>23</v>
      </c>
      <c r="K180" s="1">
        <v>40000</v>
      </c>
      <c r="L180" s="1" t="s">
        <v>125</v>
      </c>
      <c r="M180" s="3" t="s">
        <v>41</v>
      </c>
    </row>
    <row r="181" spans="1:13" x14ac:dyDescent="0.25">
      <c r="A181" s="2">
        <v>10108</v>
      </c>
      <c r="B181" s="1" t="s">
        <v>666</v>
      </c>
      <c r="C181" s="1" t="s">
        <v>667</v>
      </c>
      <c r="D181" s="1" t="s">
        <v>668</v>
      </c>
      <c r="E181" s="1" t="s">
        <v>13</v>
      </c>
      <c r="F181" s="1" t="s">
        <v>669</v>
      </c>
      <c r="G181" s="1">
        <v>2</v>
      </c>
      <c r="H181" s="1" t="s">
        <v>29</v>
      </c>
      <c r="I181" s="1">
        <v>0</v>
      </c>
      <c r="J181" s="1" t="s">
        <v>23</v>
      </c>
      <c r="K181" s="1">
        <v>40000</v>
      </c>
      <c r="L181" s="1" t="s">
        <v>46</v>
      </c>
      <c r="M181" s="3" t="s">
        <v>41</v>
      </c>
    </row>
    <row r="182" spans="1:13" x14ac:dyDescent="0.25">
      <c r="A182" s="2">
        <v>465348</v>
      </c>
      <c r="B182" s="1" t="s">
        <v>670</v>
      </c>
      <c r="C182" s="1" t="s">
        <v>671</v>
      </c>
      <c r="D182" s="1" t="s">
        <v>672</v>
      </c>
      <c r="E182" s="1" t="s">
        <v>13</v>
      </c>
      <c r="F182" s="1" t="s">
        <v>673</v>
      </c>
      <c r="G182" s="1">
        <v>3</v>
      </c>
      <c r="H182" s="1" t="s">
        <v>35</v>
      </c>
      <c r="I182" s="1">
        <v>0</v>
      </c>
      <c r="J182" s="1" t="s">
        <v>23</v>
      </c>
      <c r="K182" s="1">
        <v>40000</v>
      </c>
      <c r="L182" s="1" t="s">
        <v>17</v>
      </c>
      <c r="M182" s="3" t="s">
        <v>55</v>
      </c>
    </row>
    <row r="183" spans="1:13" x14ac:dyDescent="0.25">
      <c r="A183" s="2">
        <v>10109</v>
      </c>
      <c r="B183" s="1" t="s">
        <v>241</v>
      </c>
      <c r="C183" s="1" t="s">
        <v>674</v>
      </c>
      <c r="D183" s="1" t="s">
        <v>675</v>
      </c>
      <c r="E183" s="1" t="s">
        <v>33</v>
      </c>
      <c r="F183" s="1" t="s">
        <v>676</v>
      </c>
      <c r="G183" s="1">
        <v>7</v>
      </c>
      <c r="H183" s="1" t="s">
        <v>29</v>
      </c>
      <c r="I183" s="1">
        <v>0</v>
      </c>
      <c r="J183" s="1" t="s">
        <v>23</v>
      </c>
      <c r="K183" s="1">
        <v>40000</v>
      </c>
      <c r="L183" s="1" t="s">
        <v>24</v>
      </c>
      <c r="M183" s="3" t="s">
        <v>18</v>
      </c>
    </row>
    <row r="184" spans="1:13" x14ac:dyDescent="0.25">
      <c r="A184" s="2">
        <v>92149</v>
      </c>
      <c r="B184" s="1" t="s">
        <v>677</v>
      </c>
      <c r="C184" s="1" t="s">
        <v>678</v>
      </c>
      <c r="D184" s="1" t="s">
        <v>679</v>
      </c>
      <c r="E184" s="1" t="s">
        <v>33</v>
      </c>
      <c r="F184" s="1" t="s">
        <v>680</v>
      </c>
      <c r="G184" s="1">
        <v>4</v>
      </c>
      <c r="H184" s="1" t="s">
        <v>35</v>
      </c>
      <c r="I184" s="1">
        <v>0</v>
      </c>
      <c r="J184" s="1" t="s">
        <v>23</v>
      </c>
      <c r="K184" s="1">
        <v>69585</v>
      </c>
      <c r="L184" s="1" t="s">
        <v>108</v>
      </c>
      <c r="M184" s="3" t="s">
        <v>41</v>
      </c>
    </row>
    <row r="185" spans="1:13" x14ac:dyDescent="0.25">
      <c r="A185" s="2">
        <v>10110</v>
      </c>
      <c r="B185" s="1" t="s">
        <v>681</v>
      </c>
      <c r="C185" s="1" t="s">
        <v>682</v>
      </c>
      <c r="D185" s="1" t="s">
        <v>683</v>
      </c>
      <c r="E185" s="1" t="s">
        <v>33</v>
      </c>
      <c r="F185" s="1" t="s">
        <v>684</v>
      </c>
      <c r="G185" s="1">
        <v>9</v>
      </c>
      <c r="H185" s="1" t="s">
        <v>29</v>
      </c>
      <c r="I185" s="1">
        <v>0</v>
      </c>
      <c r="J185" s="1" t="s">
        <v>23</v>
      </c>
      <c r="K185" s="1">
        <v>46836</v>
      </c>
      <c r="L185" s="1" t="s">
        <v>46</v>
      </c>
      <c r="M185" s="3" t="s">
        <v>41</v>
      </c>
    </row>
    <row r="186" spans="1:13" x14ac:dyDescent="0.25">
      <c r="A186" s="2">
        <v>10111</v>
      </c>
      <c r="B186" s="1" t="s">
        <v>685</v>
      </c>
      <c r="C186" s="1" t="s">
        <v>686</v>
      </c>
      <c r="D186" s="1" t="s">
        <v>687</v>
      </c>
      <c r="E186" s="1" t="s">
        <v>33</v>
      </c>
      <c r="F186" s="1" t="s">
        <v>688</v>
      </c>
      <c r="G186" s="1">
        <v>6</v>
      </c>
      <c r="H186" s="1" t="s">
        <v>29</v>
      </c>
      <c r="I186" s="1">
        <v>0</v>
      </c>
      <c r="J186" s="1" t="s">
        <v>23</v>
      </c>
      <c r="K186" s="1">
        <v>40000</v>
      </c>
      <c r="L186" s="1" t="s">
        <v>71</v>
      </c>
      <c r="M186" s="3" t="s">
        <v>18</v>
      </c>
    </row>
    <row r="187" spans="1:13" x14ac:dyDescent="0.25">
      <c r="A187" s="2">
        <v>406318</v>
      </c>
      <c r="B187" s="1" t="s">
        <v>689</v>
      </c>
      <c r="C187" s="1" t="s">
        <v>690</v>
      </c>
      <c r="D187" s="1" t="s">
        <v>691</v>
      </c>
      <c r="E187" s="1" t="s">
        <v>13</v>
      </c>
      <c r="F187" s="1" t="s">
        <v>692</v>
      </c>
      <c r="G187" s="1">
        <v>9</v>
      </c>
      <c r="H187" s="1" t="s">
        <v>29</v>
      </c>
      <c r="I187" s="1">
        <v>0</v>
      </c>
      <c r="J187" s="1" t="s">
        <v>23</v>
      </c>
      <c r="K187" s="1">
        <v>55145</v>
      </c>
      <c r="L187" s="1" t="s">
        <v>17</v>
      </c>
      <c r="M187" s="3" t="s">
        <v>18</v>
      </c>
    </row>
    <row r="188" spans="1:13" x14ac:dyDescent="0.25">
      <c r="A188" s="2">
        <v>10112</v>
      </c>
      <c r="B188" s="1" t="s">
        <v>693</v>
      </c>
      <c r="C188" s="1" t="s">
        <v>694</v>
      </c>
      <c r="D188" s="1" t="s">
        <v>695</v>
      </c>
      <c r="E188" s="1" t="s">
        <v>33</v>
      </c>
      <c r="F188" s="1" t="s">
        <v>696</v>
      </c>
      <c r="G188" s="1">
        <v>2</v>
      </c>
      <c r="H188" s="1" t="s">
        <v>15</v>
      </c>
      <c r="I188" s="1">
        <v>0</v>
      </c>
      <c r="J188" s="1" t="s">
        <v>23</v>
      </c>
      <c r="K188" s="1">
        <v>49500</v>
      </c>
      <c r="L188" s="1" t="s">
        <v>89</v>
      </c>
      <c r="M188" s="3" t="s">
        <v>41</v>
      </c>
    </row>
    <row r="189" spans="1:13" x14ac:dyDescent="0.25">
      <c r="A189" s="2">
        <v>10113</v>
      </c>
      <c r="B189" s="1" t="s">
        <v>697</v>
      </c>
      <c r="C189" s="1" t="s">
        <v>698</v>
      </c>
      <c r="D189" s="1" t="s">
        <v>555</v>
      </c>
      <c r="E189" s="1" t="s">
        <v>13</v>
      </c>
      <c r="F189" s="1" t="s">
        <v>699</v>
      </c>
      <c r="G189" s="1">
        <v>10</v>
      </c>
      <c r="H189" s="1" t="s">
        <v>29</v>
      </c>
      <c r="I189" s="1">
        <v>0</v>
      </c>
      <c r="J189" s="1" t="s">
        <v>23</v>
      </c>
      <c r="K189" s="1">
        <v>69856</v>
      </c>
      <c r="L189" s="1" t="s">
        <v>24</v>
      </c>
      <c r="M189" s="3" t="s">
        <v>55</v>
      </c>
    </row>
    <row r="190" spans="1:13" x14ac:dyDescent="0.25">
      <c r="A190" s="2">
        <v>259126</v>
      </c>
      <c r="B190" s="1" t="s">
        <v>700</v>
      </c>
      <c r="C190" s="1" t="s">
        <v>701</v>
      </c>
      <c r="D190" s="1" t="s">
        <v>702</v>
      </c>
      <c r="E190" s="1" t="s">
        <v>13</v>
      </c>
      <c r="F190" s="1" t="s">
        <v>703</v>
      </c>
      <c r="G190" s="1">
        <v>2</v>
      </c>
      <c r="H190" s="1" t="s">
        <v>15</v>
      </c>
      <c r="I190" s="1">
        <v>0</v>
      </c>
      <c r="J190" s="1" t="s">
        <v>23</v>
      </c>
      <c r="K190" s="1">
        <v>70329</v>
      </c>
      <c r="L190" s="1" t="s">
        <v>125</v>
      </c>
      <c r="M190" s="3" t="s">
        <v>41</v>
      </c>
    </row>
    <row r="191" spans="1:13" x14ac:dyDescent="0.25">
      <c r="A191" s="2">
        <v>10114</v>
      </c>
      <c r="B191" s="1" t="s">
        <v>704</v>
      </c>
      <c r="C191" s="1" t="s">
        <v>705</v>
      </c>
      <c r="D191" s="1" t="s">
        <v>211</v>
      </c>
      <c r="E191" s="1" t="s">
        <v>33</v>
      </c>
      <c r="F191" s="1" t="s">
        <v>706</v>
      </c>
      <c r="G191" s="1">
        <v>6</v>
      </c>
      <c r="H191" s="1" t="s">
        <v>138</v>
      </c>
      <c r="I191" s="1">
        <v>0</v>
      </c>
      <c r="J191" s="1" t="s">
        <v>23</v>
      </c>
      <c r="K191" s="1">
        <v>49593</v>
      </c>
      <c r="L191" s="1" t="s">
        <v>61</v>
      </c>
      <c r="M191" s="3" t="s">
        <v>41</v>
      </c>
    </row>
    <row r="192" spans="1:13" x14ac:dyDescent="0.25">
      <c r="A192" s="2">
        <v>10115</v>
      </c>
      <c r="B192" s="1" t="s">
        <v>707</v>
      </c>
      <c r="C192" s="1" t="s">
        <v>708</v>
      </c>
      <c r="D192" s="1" t="s">
        <v>709</v>
      </c>
      <c r="E192" s="1" t="s">
        <v>13</v>
      </c>
      <c r="F192" s="1" t="s">
        <v>710</v>
      </c>
      <c r="G192" s="1">
        <v>1</v>
      </c>
      <c r="H192" s="1" t="s">
        <v>29</v>
      </c>
      <c r="I192" s="1">
        <v>0</v>
      </c>
      <c r="J192" s="1" t="s">
        <v>23</v>
      </c>
      <c r="K192" s="1">
        <v>40000</v>
      </c>
      <c r="L192" s="1" t="s">
        <v>89</v>
      </c>
      <c r="M192" s="3" t="s">
        <v>41</v>
      </c>
    </row>
    <row r="193" spans="1:13" x14ac:dyDescent="0.25">
      <c r="A193" s="2">
        <v>42625</v>
      </c>
      <c r="B193" s="1" t="s">
        <v>711</v>
      </c>
      <c r="C193" s="1" t="s">
        <v>712</v>
      </c>
      <c r="D193" s="1" t="s">
        <v>695</v>
      </c>
      <c r="E193" s="1" t="s">
        <v>33</v>
      </c>
      <c r="F193" s="1" t="s">
        <v>713</v>
      </c>
      <c r="G193" s="1">
        <v>1</v>
      </c>
      <c r="H193" s="1" t="s">
        <v>29</v>
      </c>
      <c r="I193" s="1">
        <v>0</v>
      </c>
      <c r="J193" s="1" t="s">
        <v>23</v>
      </c>
      <c r="K193" s="1">
        <v>55095</v>
      </c>
      <c r="L193" s="1" t="s">
        <v>40</v>
      </c>
      <c r="M193" s="3" t="s">
        <v>41</v>
      </c>
    </row>
    <row r="194" spans="1:13" x14ac:dyDescent="0.25">
      <c r="A194" s="2">
        <v>10116</v>
      </c>
      <c r="B194" s="1" t="s">
        <v>714</v>
      </c>
      <c r="C194" s="1" t="s">
        <v>715</v>
      </c>
      <c r="D194" s="1" t="s">
        <v>716</v>
      </c>
      <c r="E194" s="1" t="s">
        <v>33</v>
      </c>
      <c r="F194" s="1" t="s">
        <v>717</v>
      </c>
      <c r="G194" s="1">
        <v>3</v>
      </c>
      <c r="H194" s="1" t="s">
        <v>29</v>
      </c>
      <c r="I194" s="1">
        <v>0</v>
      </c>
      <c r="J194" s="1" t="s">
        <v>23</v>
      </c>
      <c r="K194" s="1">
        <v>44034</v>
      </c>
      <c r="L194" s="1" t="s">
        <v>17</v>
      </c>
      <c r="M194" s="3" t="s">
        <v>18</v>
      </c>
    </row>
    <row r="195" spans="1:13" x14ac:dyDescent="0.25">
      <c r="A195" s="2">
        <v>10116</v>
      </c>
      <c r="B195" s="1" t="s">
        <v>714</v>
      </c>
      <c r="C195" s="1" t="s">
        <v>715</v>
      </c>
      <c r="D195" s="1" t="s">
        <v>716</v>
      </c>
      <c r="E195" s="1" t="s">
        <v>33</v>
      </c>
      <c r="F195" s="1" t="s">
        <v>717</v>
      </c>
      <c r="G195" s="1">
        <v>3</v>
      </c>
      <c r="H195" s="1" t="s">
        <v>29</v>
      </c>
      <c r="I195" s="1">
        <v>0</v>
      </c>
      <c r="J195" s="1" t="s">
        <v>23</v>
      </c>
      <c r="K195" s="1">
        <v>44034</v>
      </c>
      <c r="L195" s="1" t="s">
        <v>61</v>
      </c>
      <c r="M195" s="3" t="s">
        <v>18</v>
      </c>
    </row>
    <row r="196" spans="1:13" x14ac:dyDescent="0.25">
      <c r="A196" s="2">
        <v>85093</v>
      </c>
      <c r="B196" s="1" t="s">
        <v>718</v>
      </c>
      <c r="C196" s="1" t="s">
        <v>719</v>
      </c>
      <c r="D196" s="1" t="s">
        <v>720</v>
      </c>
      <c r="E196" s="1" t="s">
        <v>13</v>
      </c>
      <c r="F196" s="1" t="s">
        <v>721</v>
      </c>
      <c r="G196" s="1">
        <v>6</v>
      </c>
      <c r="H196" s="1" t="s">
        <v>29</v>
      </c>
      <c r="I196" s="1">
        <v>0</v>
      </c>
      <c r="J196" s="1" t="s">
        <v>23</v>
      </c>
      <c r="K196" s="1">
        <v>97816</v>
      </c>
      <c r="L196" s="1" t="s">
        <v>40</v>
      </c>
      <c r="M196" s="3" t="s">
        <v>102</v>
      </c>
    </row>
    <row r="197" spans="1:13" x14ac:dyDescent="0.25">
      <c r="A197" s="2">
        <v>10117</v>
      </c>
      <c r="B197" s="1" t="s">
        <v>722</v>
      </c>
      <c r="C197" s="1" t="s">
        <v>723</v>
      </c>
      <c r="D197" s="1" t="s">
        <v>724</v>
      </c>
      <c r="E197" s="1" t="s">
        <v>33</v>
      </c>
      <c r="F197" s="1" t="s">
        <v>725</v>
      </c>
      <c r="G197" s="1">
        <v>6</v>
      </c>
      <c r="H197" s="1" t="s">
        <v>29</v>
      </c>
      <c r="I197" s="1">
        <v>0</v>
      </c>
      <c r="J197" s="1" t="s">
        <v>23</v>
      </c>
      <c r="K197" s="1">
        <v>52284</v>
      </c>
      <c r="L197" s="1" t="s">
        <v>24</v>
      </c>
      <c r="M197" s="3" t="s">
        <v>18</v>
      </c>
    </row>
    <row r="198" spans="1:13" x14ac:dyDescent="0.25">
      <c r="A198" s="2">
        <v>10118</v>
      </c>
      <c r="B198" s="1" t="s">
        <v>726</v>
      </c>
      <c r="C198" s="1" t="s">
        <v>599</v>
      </c>
      <c r="D198" s="1" t="s">
        <v>727</v>
      </c>
      <c r="E198" s="1" t="s">
        <v>33</v>
      </c>
      <c r="F198" s="1" t="s">
        <v>728</v>
      </c>
      <c r="G198" s="1">
        <v>6</v>
      </c>
      <c r="H198" s="1" t="s">
        <v>35</v>
      </c>
      <c r="I198" s="1">
        <v>0</v>
      </c>
      <c r="J198" s="1" t="s">
        <v>23</v>
      </c>
      <c r="K198" s="1">
        <v>40000</v>
      </c>
      <c r="L198" s="1" t="s">
        <v>17</v>
      </c>
      <c r="M198" s="3" t="s">
        <v>18</v>
      </c>
    </row>
    <row r="199" spans="1:13" x14ac:dyDescent="0.25">
      <c r="A199" s="2">
        <v>281320</v>
      </c>
      <c r="B199" s="1" t="s">
        <v>729</v>
      </c>
      <c r="C199" s="1" t="s">
        <v>615</v>
      </c>
      <c r="D199" s="1" t="s">
        <v>730</v>
      </c>
      <c r="E199" s="1" t="s">
        <v>33</v>
      </c>
      <c r="F199" s="1" t="s">
        <v>731</v>
      </c>
      <c r="G199" s="1">
        <v>2</v>
      </c>
      <c r="H199" s="1" t="s">
        <v>15</v>
      </c>
      <c r="I199" s="1">
        <v>1</v>
      </c>
      <c r="J199" s="1" t="s">
        <v>732</v>
      </c>
      <c r="K199" s="1">
        <v>41600</v>
      </c>
      <c r="L199" s="1" t="s">
        <v>17</v>
      </c>
      <c r="M199" s="3" t="s">
        <v>18</v>
      </c>
    </row>
    <row r="200" spans="1:13" x14ac:dyDescent="0.25">
      <c r="A200" s="2">
        <v>10119</v>
      </c>
      <c r="B200" s="1" t="s">
        <v>733</v>
      </c>
      <c r="C200" s="1" t="s">
        <v>194</v>
      </c>
      <c r="D200" s="1" t="s">
        <v>734</v>
      </c>
      <c r="E200" s="1" t="s">
        <v>13</v>
      </c>
      <c r="F200" s="1" t="s">
        <v>569</v>
      </c>
      <c r="G200" s="1">
        <v>9</v>
      </c>
      <c r="H200" s="1" t="s">
        <v>15</v>
      </c>
      <c r="I200" s="1">
        <v>0</v>
      </c>
      <c r="J200" s="1" t="s">
        <v>23</v>
      </c>
      <c r="K200" s="1">
        <v>53551</v>
      </c>
      <c r="L200" s="1" t="s">
        <v>24</v>
      </c>
      <c r="M200" s="3" t="s">
        <v>55</v>
      </c>
    </row>
    <row r="201" spans="1:13" x14ac:dyDescent="0.25">
      <c r="A201" s="2">
        <v>10120</v>
      </c>
      <c r="B201" s="1" t="s">
        <v>735</v>
      </c>
      <c r="C201" s="1" t="s">
        <v>736</v>
      </c>
      <c r="D201" s="1" t="s">
        <v>737</v>
      </c>
      <c r="E201" s="1" t="s">
        <v>33</v>
      </c>
      <c r="F201" s="1" t="s">
        <v>738</v>
      </c>
      <c r="G201" s="1">
        <v>6</v>
      </c>
      <c r="H201" s="1" t="s">
        <v>29</v>
      </c>
      <c r="I201" s="1">
        <v>0</v>
      </c>
      <c r="J201" s="1" t="s">
        <v>23</v>
      </c>
      <c r="K201" s="1">
        <v>46292</v>
      </c>
      <c r="L201" s="1" t="s">
        <v>24</v>
      </c>
      <c r="M201" s="3" t="s">
        <v>55</v>
      </c>
    </row>
    <row r="202" spans="1:13" x14ac:dyDescent="0.25">
      <c r="A202" s="2">
        <v>402202</v>
      </c>
      <c r="B202" s="1" t="s">
        <v>739</v>
      </c>
      <c r="C202" s="1" t="s">
        <v>740</v>
      </c>
      <c r="D202" s="1" t="s">
        <v>741</v>
      </c>
      <c r="E202" s="1" t="s">
        <v>13</v>
      </c>
      <c r="F202" s="1" t="s">
        <v>742</v>
      </c>
      <c r="G202" s="1">
        <v>10</v>
      </c>
      <c r="H202" s="1" t="s">
        <v>29</v>
      </c>
      <c r="I202" s="1">
        <v>0</v>
      </c>
      <c r="J202" s="1" t="s">
        <v>23</v>
      </c>
      <c r="K202" s="1">
        <v>41006</v>
      </c>
      <c r="L202" s="1" t="s">
        <v>17</v>
      </c>
      <c r="M202" s="3" t="s">
        <v>156</v>
      </c>
    </row>
    <row r="203" spans="1:13" x14ac:dyDescent="0.25">
      <c r="A203" s="2">
        <v>10121</v>
      </c>
      <c r="B203" s="1" t="s">
        <v>743</v>
      </c>
      <c r="C203" s="1" t="s">
        <v>114</v>
      </c>
      <c r="D203" s="1" t="s">
        <v>744</v>
      </c>
      <c r="E203" s="1" t="s">
        <v>13</v>
      </c>
      <c r="F203" s="1" t="s">
        <v>745</v>
      </c>
      <c r="G203" s="1">
        <v>10</v>
      </c>
      <c r="H203" s="1" t="s">
        <v>35</v>
      </c>
      <c r="I203" s="1">
        <v>0</v>
      </c>
      <c r="J203" s="1" t="s">
        <v>23</v>
      </c>
      <c r="K203" s="1">
        <v>43772</v>
      </c>
      <c r="L203" s="1" t="s">
        <v>17</v>
      </c>
      <c r="M203" s="3" t="s">
        <v>18</v>
      </c>
    </row>
    <row r="204" spans="1:13" x14ac:dyDescent="0.25">
      <c r="A204" s="2">
        <v>10122</v>
      </c>
      <c r="B204" s="1" t="s">
        <v>746</v>
      </c>
      <c r="C204" s="1" t="s">
        <v>747</v>
      </c>
      <c r="D204" s="1" t="s">
        <v>748</v>
      </c>
      <c r="E204" s="1" t="s">
        <v>13</v>
      </c>
      <c r="F204" s="1" t="s">
        <v>749</v>
      </c>
      <c r="G204" s="1">
        <v>6</v>
      </c>
      <c r="H204" s="1" t="s">
        <v>29</v>
      </c>
      <c r="I204" s="1">
        <v>0</v>
      </c>
      <c r="J204" s="1" t="s">
        <v>23</v>
      </c>
      <c r="K204" s="1">
        <v>42284</v>
      </c>
      <c r="L204" s="1" t="s">
        <v>17</v>
      </c>
      <c r="M204" s="3" t="s">
        <v>156</v>
      </c>
    </row>
    <row r="205" spans="1:13" x14ac:dyDescent="0.25">
      <c r="A205" s="2">
        <v>419277</v>
      </c>
      <c r="B205" s="1" t="s">
        <v>750</v>
      </c>
      <c r="C205" s="1" t="s">
        <v>751</v>
      </c>
      <c r="D205" s="1" t="s">
        <v>752</v>
      </c>
      <c r="E205" s="1" t="s">
        <v>13</v>
      </c>
      <c r="F205" s="1" t="s">
        <v>753</v>
      </c>
      <c r="G205" s="1">
        <v>4</v>
      </c>
      <c r="H205" s="1" t="s">
        <v>138</v>
      </c>
      <c r="I205" s="1">
        <v>0</v>
      </c>
      <c r="J205" s="1" t="s">
        <v>23</v>
      </c>
      <c r="K205" s="1">
        <v>46833</v>
      </c>
      <c r="L205" s="1" t="s">
        <v>17</v>
      </c>
      <c r="M205" s="3" t="s">
        <v>156</v>
      </c>
    </row>
    <row r="206" spans="1:13" x14ac:dyDescent="0.25">
      <c r="A206" s="2">
        <v>10123</v>
      </c>
      <c r="B206" s="1" t="s">
        <v>754</v>
      </c>
      <c r="C206" s="1" t="s">
        <v>755</v>
      </c>
      <c r="D206" s="1" t="s">
        <v>756</v>
      </c>
      <c r="E206" s="1" t="s">
        <v>13</v>
      </c>
      <c r="F206" s="1" t="s">
        <v>757</v>
      </c>
      <c r="G206" s="1">
        <v>1</v>
      </c>
      <c r="H206" s="1" t="s">
        <v>29</v>
      </c>
      <c r="I206" s="1">
        <v>0</v>
      </c>
      <c r="J206" s="1" t="s">
        <v>23</v>
      </c>
      <c r="K206" s="1">
        <v>71524</v>
      </c>
      <c r="L206" s="1" t="s">
        <v>24</v>
      </c>
      <c r="M206" s="3" t="s">
        <v>55</v>
      </c>
    </row>
    <row r="207" spans="1:13" x14ac:dyDescent="0.25">
      <c r="A207" s="2">
        <v>10124</v>
      </c>
      <c r="B207" s="1" t="s">
        <v>758</v>
      </c>
      <c r="C207" s="1" t="s">
        <v>759</v>
      </c>
      <c r="D207" s="1" t="s">
        <v>760</v>
      </c>
      <c r="E207" s="1" t="s">
        <v>13</v>
      </c>
      <c r="F207" s="1" t="s">
        <v>761</v>
      </c>
      <c r="G207" s="1">
        <v>8</v>
      </c>
      <c r="H207" s="1" t="s">
        <v>15</v>
      </c>
      <c r="I207" s="1">
        <v>0</v>
      </c>
      <c r="J207" s="1" t="s">
        <v>23</v>
      </c>
      <c r="K207" s="1">
        <v>40583</v>
      </c>
      <c r="L207" s="1" t="s">
        <v>24</v>
      </c>
      <c r="M207" s="3" t="s">
        <v>18</v>
      </c>
    </row>
    <row r="208" spans="1:13" x14ac:dyDescent="0.25">
      <c r="A208" s="2">
        <v>10124</v>
      </c>
      <c r="B208" s="1" t="s">
        <v>758</v>
      </c>
      <c r="C208" s="1" t="s">
        <v>759</v>
      </c>
      <c r="D208" s="1" t="s">
        <v>760</v>
      </c>
      <c r="E208" s="1" t="s">
        <v>13</v>
      </c>
      <c r="F208" s="1" t="s">
        <v>761</v>
      </c>
      <c r="G208" s="1">
        <v>8</v>
      </c>
      <c r="H208" s="1" t="s">
        <v>15</v>
      </c>
      <c r="I208" s="1">
        <v>0</v>
      </c>
      <c r="J208" s="1" t="s">
        <v>23</v>
      </c>
      <c r="K208" s="1">
        <v>40583</v>
      </c>
      <c r="L208" s="1" t="s">
        <v>71</v>
      </c>
      <c r="M208" s="3" t="s">
        <v>18</v>
      </c>
    </row>
    <row r="209" spans="1:13" x14ac:dyDescent="0.25">
      <c r="A209" s="2">
        <v>451259</v>
      </c>
      <c r="B209" s="1" t="s">
        <v>762</v>
      </c>
      <c r="C209" s="1" t="s">
        <v>763</v>
      </c>
      <c r="D209" s="1" t="s">
        <v>764</v>
      </c>
      <c r="E209" s="1" t="s">
        <v>13</v>
      </c>
      <c r="F209" s="1" t="s">
        <v>765</v>
      </c>
      <c r="G209" s="1">
        <v>10</v>
      </c>
      <c r="H209" s="1" t="s">
        <v>35</v>
      </c>
      <c r="I209" s="1">
        <v>0</v>
      </c>
      <c r="J209" s="1" t="s">
        <v>23</v>
      </c>
      <c r="K209" s="1">
        <v>46138</v>
      </c>
      <c r="L209" s="1" t="s">
        <v>46</v>
      </c>
      <c r="M209" s="3" t="s">
        <v>41</v>
      </c>
    </row>
    <row r="210" spans="1:13" x14ac:dyDescent="0.25">
      <c r="A210" s="2">
        <v>10125</v>
      </c>
      <c r="B210" s="1" t="s">
        <v>766</v>
      </c>
      <c r="C210" s="1" t="s">
        <v>767</v>
      </c>
      <c r="D210" s="1" t="s">
        <v>768</v>
      </c>
      <c r="E210" s="1" t="s">
        <v>33</v>
      </c>
      <c r="F210" s="1" t="s">
        <v>769</v>
      </c>
      <c r="G210" s="1">
        <v>10</v>
      </c>
      <c r="H210" s="1" t="s">
        <v>15</v>
      </c>
      <c r="I210" s="1">
        <v>0</v>
      </c>
      <c r="J210" s="1" t="s">
        <v>23</v>
      </c>
      <c r="K210" s="1">
        <v>58249</v>
      </c>
      <c r="L210" s="1" t="s">
        <v>40</v>
      </c>
      <c r="M210" s="3" t="s">
        <v>41</v>
      </c>
    </row>
    <row r="211" spans="1:13" x14ac:dyDescent="0.25">
      <c r="A211" s="2">
        <v>225842</v>
      </c>
      <c r="B211" s="1" t="s">
        <v>770</v>
      </c>
      <c r="C211" s="1" t="s">
        <v>771</v>
      </c>
      <c r="D211" s="1" t="s">
        <v>772</v>
      </c>
      <c r="E211" s="1" t="s">
        <v>13</v>
      </c>
      <c r="F211" s="1" t="s">
        <v>773</v>
      </c>
      <c r="G211" s="1">
        <v>3</v>
      </c>
      <c r="H211" s="1" t="s">
        <v>35</v>
      </c>
      <c r="I211" s="1">
        <v>0</v>
      </c>
      <c r="J211" s="1" t="s">
        <v>23</v>
      </c>
      <c r="K211" s="1">
        <v>40000</v>
      </c>
      <c r="L211" s="1" t="s">
        <v>17</v>
      </c>
      <c r="M211" s="3" t="s">
        <v>55</v>
      </c>
    </row>
    <row r="212" spans="1:13" x14ac:dyDescent="0.25">
      <c r="A212" s="2">
        <v>10126</v>
      </c>
      <c r="B212" s="1" t="s">
        <v>774</v>
      </c>
      <c r="C212" s="1" t="s">
        <v>775</v>
      </c>
      <c r="D212" s="1" t="s">
        <v>776</v>
      </c>
      <c r="E212" s="1" t="s">
        <v>13</v>
      </c>
      <c r="F212" s="1" t="s">
        <v>777</v>
      </c>
      <c r="G212" s="1">
        <v>10</v>
      </c>
      <c r="H212" s="1" t="s">
        <v>29</v>
      </c>
      <c r="I212" s="1">
        <v>0</v>
      </c>
      <c r="J212" s="1" t="s">
        <v>23</v>
      </c>
      <c r="K212" s="1">
        <v>40000</v>
      </c>
      <c r="L212" s="1" t="s">
        <v>89</v>
      </c>
      <c r="M212" s="3" t="s">
        <v>41</v>
      </c>
    </row>
    <row r="213" spans="1:13" x14ac:dyDescent="0.25">
      <c r="A213" s="2">
        <v>10127</v>
      </c>
      <c r="B213" s="1" t="s">
        <v>778</v>
      </c>
      <c r="C213" s="1" t="s">
        <v>779</v>
      </c>
      <c r="D213" s="1" t="s">
        <v>780</v>
      </c>
      <c r="E213" s="1" t="s">
        <v>33</v>
      </c>
      <c r="F213" s="1" t="s">
        <v>781</v>
      </c>
      <c r="G213" s="1">
        <v>3</v>
      </c>
      <c r="H213" s="1" t="s">
        <v>29</v>
      </c>
      <c r="I213" s="1">
        <v>1</v>
      </c>
      <c r="J213" s="1" t="s">
        <v>782</v>
      </c>
      <c r="K213" s="1">
        <v>40000</v>
      </c>
      <c r="L213" s="1" t="s">
        <v>17</v>
      </c>
      <c r="M213" s="3" t="s">
        <v>18</v>
      </c>
    </row>
    <row r="214" spans="1:13" x14ac:dyDescent="0.25">
      <c r="A214" s="2">
        <v>62038</v>
      </c>
      <c r="B214" s="1" t="s">
        <v>783</v>
      </c>
      <c r="C214" s="1" t="s">
        <v>784</v>
      </c>
      <c r="D214" s="1" t="s">
        <v>785</v>
      </c>
      <c r="E214" s="1" t="s">
        <v>33</v>
      </c>
      <c r="F214" s="1" t="s">
        <v>786</v>
      </c>
      <c r="G214" s="1">
        <v>1</v>
      </c>
      <c r="H214" s="1" t="s">
        <v>35</v>
      </c>
      <c r="I214" s="1">
        <v>1</v>
      </c>
      <c r="J214" s="1" t="s">
        <v>787</v>
      </c>
      <c r="K214" s="1">
        <v>60105</v>
      </c>
      <c r="L214" s="1" t="s">
        <v>61</v>
      </c>
      <c r="M214" s="3" t="s">
        <v>41</v>
      </c>
    </row>
    <row r="215" spans="1:13" x14ac:dyDescent="0.25">
      <c r="A215" s="2">
        <v>10128</v>
      </c>
      <c r="B215" s="1" t="s">
        <v>788</v>
      </c>
      <c r="C215" s="1" t="s">
        <v>789</v>
      </c>
      <c r="D215" s="1" t="s">
        <v>790</v>
      </c>
      <c r="E215" s="1" t="s">
        <v>33</v>
      </c>
      <c r="F215" s="1" t="s">
        <v>791</v>
      </c>
      <c r="G215" s="1">
        <v>5</v>
      </c>
      <c r="H215" s="1" t="s">
        <v>15</v>
      </c>
      <c r="I215" s="1">
        <v>0</v>
      </c>
      <c r="J215" s="1" t="s">
        <v>23</v>
      </c>
      <c r="K215" s="1">
        <v>40000</v>
      </c>
      <c r="L215" s="1" t="s">
        <v>89</v>
      </c>
      <c r="M215" s="3" t="s">
        <v>41</v>
      </c>
    </row>
    <row r="216" spans="1:13" x14ac:dyDescent="0.25">
      <c r="A216" s="2">
        <v>10129</v>
      </c>
      <c r="B216" s="1" t="s">
        <v>792</v>
      </c>
      <c r="C216" s="1" t="s">
        <v>736</v>
      </c>
      <c r="D216" s="1" t="s">
        <v>793</v>
      </c>
      <c r="E216" s="1" t="s">
        <v>13</v>
      </c>
      <c r="F216" s="1" t="s">
        <v>794</v>
      </c>
      <c r="G216" s="1">
        <v>9</v>
      </c>
      <c r="H216" s="1" t="s">
        <v>35</v>
      </c>
      <c r="I216" s="1">
        <v>0</v>
      </c>
      <c r="J216" s="1" t="s">
        <v>23</v>
      </c>
      <c r="K216" s="1">
        <v>40000</v>
      </c>
      <c r="L216" s="1" t="s">
        <v>17</v>
      </c>
      <c r="M216" s="3" t="s">
        <v>156</v>
      </c>
    </row>
    <row r="217" spans="1:13" x14ac:dyDescent="0.25">
      <c r="A217" s="2">
        <v>256701</v>
      </c>
      <c r="B217" s="1" t="s">
        <v>795</v>
      </c>
      <c r="C217" s="1" t="s">
        <v>796</v>
      </c>
      <c r="D217" s="1" t="s">
        <v>797</v>
      </c>
      <c r="E217" s="1" t="s">
        <v>33</v>
      </c>
      <c r="F217" s="1" t="s">
        <v>798</v>
      </c>
      <c r="G217" s="1">
        <v>1</v>
      </c>
      <c r="H217" s="1" t="s">
        <v>138</v>
      </c>
      <c r="I217" s="1">
        <v>0</v>
      </c>
      <c r="J217" s="1" t="s">
        <v>23</v>
      </c>
      <c r="K217" s="1">
        <v>40000</v>
      </c>
      <c r="L217" s="1" t="s">
        <v>17</v>
      </c>
      <c r="M217" s="3" t="s">
        <v>18</v>
      </c>
    </row>
    <row r="218" spans="1:13" x14ac:dyDescent="0.25">
      <c r="A218" s="2">
        <v>10130</v>
      </c>
      <c r="B218" s="1" t="s">
        <v>799</v>
      </c>
      <c r="C218" s="1" t="s">
        <v>800</v>
      </c>
      <c r="D218" s="1" t="s">
        <v>801</v>
      </c>
      <c r="E218" s="1" t="s">
        <v>13</v>
      </c>
      <c r="F218" s="1" t="s">
        <v>802</v>
      </c>
      <c r="G218" s="1">
        <v>2</v>
      </c>
      <c r="H218" s="1" t="s">
        <v>35</v>
      </c>
      <c r="I218" s="1">
        <v>0</v>
      </c>
      <c r="J218" s="1" t="s">
        <v>23</v>
      </c>
      <c r="K218" s="1">
        <v>40000</v>
      </c>
      <c r="L218" s="1" t="s">
        <v>24</v>
      </c>
      <c r="M218" s="3" t="s">
        <v>18</v>
      </c>
    </row>
    <row r="219" spans="1:13" x14ac:dyDescent="0.25">
      <c r="A219" s="2">
        <v>10131</v>
      </c>
      <c r="B219" s="1" t="s">
        <v>803</v>
      </c>
      <c r="C219" s="1" t="s">
        <v>804</v>
      </c>
      <c r="D219" s="1" t="s">
        <v>805</v>
      </c>
      <c r="E219" s="1" t="s">
        <v>13</v>
      </c>
      <c r="F219" s="1" t="s">
        <v>806</v>
      </c>
      <c r="G219" s="1">
        <v>8</v>
      </c>
      <c r="H219" s="1" t="s">
        <v>29</v>
      </c>
      <c r="I219" s="1">
        <v>0</v>
      </c>
      <c r="J219" s="1" t="s">
        <v>23</v>
      </c>
      <c r="K219" s="1">
        <v>48475</v>
      </c>
      <c r="L219" s="1" t="s">
        <v>24</v>
      </c>
      <c r="M219" s="3" t="s">
        <v>55</v>
      </c>
    </row>
    <row r="220" spans="1:13" x14ac:dyDescent="0.25">
      <c r="A220" s="2">
        <v>205366</v>
      </c>
      <c r="B220" s="1" t="s">
        <v>807</v>
      </c>
      <c r="C220" s="1" t="s">
        <v>808</v>
      </c>
      <c r="D220" s="1" t="s">
        <v>809</v>
      </c>
      <c r="E220" s="1" t="s">
        <v>33</v>
      </c>
      <c r="F220" s="1" t="s">
        <v>810</v>
      </c>
      <c r="G220" s="1">
        <v>9</v>
      </c>
      <c r="H220" s="1" t="s">
        <v>29</v>
      </c>
      <c r="I220" s="1">
        <v>0</v>
      </c>
      <c r="J220" s="1" t="s">
        <v>23</v>
      </c>
      <c r="K220" s="1">
        <v>80518</v>
      </c>
      <c r="L220" s="1" t="s">
        <v>40</v>
      </c>
      <c r="M220" s="3" t="s">
        <v>102</v>
      </c>
    </row>
    <row r="221" spans="1:13" x14ac:dyDescent="0.25">
      <c r="A221" s="2">
        <v>205366</v>
      </c>
      <c r="B221" s="1" t="s">
        <v>807</v>
      </c>
      <c r="C221" s="1" t="s">
        <v>808</v>
      </c>
      <c r="D221" s="1" t="s">
        <v>809</v>
      </c>
      <c r="E221" s="1" t="s">
        <v>33</v>
      </c>
      <c r="F221" s="1" t="s">
        <v>810</v>
      </c>
      <c r="G221" s="1">
        <v>9</v>
      </c>
      <c r="H221" s="1" t="s">
        <v>29</v>
      </c>
      <c r="I221" s="1">
        <v>0</v>
      </c>
      <c r="J221" s="1" t="s">
        <v>23</v>
      </c>
      <c r="K221" s="1">
        <v>80518</v>
      </c>
      <c r="L221" s="1" t="s">
        <v>89</v>
      </c>
      <c r="M221" s="3" t="s">
        <v>102</v>
      </c>
    </row>
    <row r="222" spans="1:13" x14ac:dyDescent="0.25">
      <c r="A222" s="2">
        <v>10132</v>
      </c>
      <c r="B222" s="1" t="s">
        <v>811</v>
      </c>
      <c r="C222" s="1" t="s">
        <v>812</v>
      </c>
      <c r="D222" s="1" t="s">
        <v>813</v>
      </c>
      <c r="E222" s="1" t="s">
        <v>13</v>
      </c>
      <c r="F222" s="1" t="s">
        <v>814</v>
      </c>
      <c r="G222" s="1">
        <v>6</v>
      </c>
      <c r="H222" s="1" t="s">
        <v>29</v>
      </c>
      <c r="I222" s="1">
        <v>0</v>
      </c>
      <c r="J222" s="1" t="s">
        <v>23</v>
      </c>
      <c r="K222" s="1">
        <v>61590</v>
      </c>
      <c r="L222" s="1" t="s">
        <v>108</v>
      </c>
      <c r="M222" s="3" t="s">
        <v>41</v>
      </c>
    </row>
    <row r="223" spans="1:13" x14ac:dyDescent="0.25">
      <c r="A223" s="2">
        <v>10133</v>
      </c>
      <c r="B223" s="1" t="s">
        <v>815</v>
      </c>
      <c r="C223" s="1" t="s">
        <v>816</v>
      </c>
      <c r="D223" s="1" t="s">
        <v>817</v>
      </c>
      <c r="E223" s="1" t="s">
        <v>13</v>
      </c>
      <c r="F223" s="1" t="s">
        <v>818</v>
      </c>
      <c r="G223" s="1">
        <v>7</v>
      </c>
      <c r="H223" s="1" t="s">
        <v>35</v>
      </c>
      <c r="I223" s="1">
        <v>0</v>
      </c>
      <c r="J223" s="1" t="s">
        <v>23</v>
      </c>
      <c r="K223" s="1">
        <v>40000</v>
      </c>
      <c r="L223" s="1" t="s">
        <v>24</v>
      </c>
      <c r="M223" s="3" t="s">
        <v>18</v>
      </c>
    </row>
    <row r="224" spans="1:13" x14ac:dyDescent="0.25">
      <c r="A224" s="2">
        <v>101013</v>
      </c>
      <c r="B224" s="1" t="s">
        <v>819</v>
      </c>
      <c r="C224" s="1" t="s">
        <v>820</v>
      </c>
      <c r="D224" s="1" t="s">
        <v>821</v>
      </c>
      <c r="E224" s="1" t="s">
        <v>13</v>
      </c>
      <c r="F224" s="1" t="s">
        <v>822</v>
      </c>
      <c r="G224" s="1">
        <v>10</v>
      </c>
      <c r="H224" s="1" t="s">
        <v>29</v>
      </c>
      <c r="I224" s="1">
        <v>0</v>
      </c>
      <c r="J224" s="1" t="s">
        <v>23</v>
      </c>
      <c r="K224" s="1">
        <v>68550</v>
      </c>
      <c r="L224" s="1" t="s">
        <v>24</v>
      </c>
      <c r="M224" s="3" t="s">
        <v>18</v>
      </c>
    </row>
    <row r="225" spans="1:13" x14ac:dyDescent="0.25">
      <c r="A225" s="2">
        <v>10134</v>
      </c>
      <c r="B225" s="1" t="s">
        <v>823</v>
      </c>
      <c r="C225" s="1" t="s">
        <v>824</v>
      </c>
      <c r="D225" s="1" t="s">
        <v>825</v>
      </c>
      <c r="E225" s="1" t="s">
        <v>13</v>
      </c>
      <c r="F225" s="1" t="s">
        <v>826</v>
      </c>
      <c r="G225" s="1">
        <v>7</v>
      </c>
      <c r="H225" s="1" t="s">
        <v>29</v>
      </c>
      <c r="I225" s="1">
        <v>0</v>
      </c>
      <c r="J225" s="1" t="s">
        <v>23</v>
      </c>
      <c r="K225" s="1">
        <v>40000</v>
      </c>
      <c r="L225" s="1" t="s">
        <v>24</v>
      </c>
      <c r="M225" s="3" t="s">
        <v>18</v>
      </c>
    </row>
    <row r="226" spans="1:13" x14ac:dyDescent="0.25">
      <c r="A226" s="2">
        <v>10134</v>
      </c>
      <c r="B226" s="1" t="s">
        <v>823</v>
      </c>
      <c r="C226" s="1" t="s">
        <v>824</v>
      </c>
      <c r="D226" s="1" t="s">
        <v>825</v>
      </c>
      <c r="E226" s="1" t="s">
        <v>13</v>
      </c>
      <c r="F226" s="1" t="s">
        <v>826</v>
      </c>
      <c r="G226" s="1">
        <v>7</v>
      </c>
      <c r="H226" s="1" t="s">
        <v>29</v>
      </c>
      <c r="I226" s="1">
        <v>0</v>
      </c>
      <c r="J226" s="1" t="s">
        <v>23</v>
      </c>
      <c r="K226" s="1">
        <v>40000</v>
      </c>
      <c r="L226" s="1" t="s">
        <v>17</v>
      </c>
      <c r="M226" s="3" t="s">
        <v>18</v>
      </c>
    </row>
    <row r="227" spans="1:13" x14ac:dyDescent="0.25">
      <c r="A227" s="2">
        <v>212882</v>
      </c>
      <c r="B227" s="1" t="s">
        <v>827</v>
      </c>
      <c r="C227" s="1" t="s">
        <v>828</v>
      </c>
      <c r="D227" s="1" t="s">
        <v>829</v>
      </c>
      <c r="E227" s="1" t="s">
        <v>33</v>
      </c>
      <c r="F227" s="1" t="s">
        <v>830</v>
      </c>
      <c r="G227" s="1">
        <v>2</v>
      </c>
      <c r="H227" s="1" t="s">
        <v>29</v>
      </c>
      <c r="I227" s="1">
        <v>0</v>
      </c>
      <c r="J227" s="1" t="s">
        <v>23</v>
      </c>
      <c r="K227" s="1">
        <v>40000</v>
      </c>
      <c r="L227" s="1" t="s">
        <v>89</v>
      </c>
      <c r="M227" s="3" t="s">
        <v>41</v>
      </c>
    </row>
    <row r="228" spans="1:13" x14ac:dyDescent="0.25">
      <c r="A228" s="2">
        <v>10135</v>
      </c>
      <c r="B228" s="1" t="s">
        <v>831</v>
      </c>
      <c r="C228" s="1" t="s">
        <v>832</v>
      </c>
      <c r="D228" s="1" t="s">
        <v>833</v>
      </c>
      <c r="E228" s="1" t="s">
        <v>13</v>
      </c>
      <c r="F228" s="1" t="s">
        <v>834</v>
      </c>
      <c r="G228" s="1">
        <v>7</v>
      </c>
      <c r="H228" s="1" t="s">
        <v>15</v>
      </c>
      <c r="I228" s="1">
        <v>0</v>
      </c>
      <c r="J228" s="1" t="s">
        <v>23</v>
      </c>
      <c r="K228" s="1">
        <v>40000</v>
      </c>
      <c r="L228" s="1" t="s">
        <v>24</v>
      </c>
      <c r="M228" s="3" t="s">
        <v>55</v>
      </c>
    </row>
    <row r="229" spans="1:13" x14ac:dyDescent="0.25">
      <c r="A229" s="2">
        <v>10136</v>
      </c>
      <c r="B229" s="1" t="s">
        <v>835</v>
      </c>
      <c r="C229" s="1" t="s">
        <v>836</v>
      </c>
      <c r="D229" s="1" t="s">
        <v>837</v>
      </c>
      <c r="E229" s="1" t="s">
        <v>13</v>
      </c>
      <c r="F229" s="1" t="s">
        <v>838</v>
      </c>
      <c r="G229" s="1">
        <v>10</v>
      </c>
      <c r="H229" s="1" t="s">
        <v>15</v>
      </c>
      <c r="I229" s="1">
        <v>0</v>
      </c>
      <c r="J229" s="1" t="s">
        <v>23</v>
      </c>
      <c r="K229" s="1">
        <v>82420</v>
      </c>
      <c r="L229" s="1" t="s">
        <v>40</v>
      </c>
      <c r="M229" s="3" t="s">
        <v>41</v>
      </c>
    </row>
    <row r="230" spans="1:13" x14ac:dyDescent="0.25">
      <c r="A230" s="2">
        <v>21620</v>
      </c>
      <c r="B230" s="1" t="s">
        <v>839</v>
      </c>
      <c r="C230" s="1" t="s">
        <v>563</v>
      </c>
      <c r="D230" s="1" t="s">
        <v>840</v>
      </c>
      <c r="E230" s="1" t="s">
        <v>13</v>
      </c>
      <c r="F230" s="1" t="s">
        <v>841</v>
      </c>
      <c r="G230" s="1">
        <v>8</v>
      </c>
      <c r="H230" s="1" t="s">
        <v>138</v>
      </c>
      <c r="I230" s="1">
        <v>0</v>
      </c>
      <c r="J230" s="1" t="s">
        <v>23</v>
      </c>
      <c r="K230" s="1">
        <v>40000</v>
      </c>
      <c r="L230" s="1" t="s">
        <v>61</v>
      </c>
      <c r="M230" s="3" t="s">
        <v>41</v>
      </c>
    </row>
    <row r="231" spans="1:13" x14ac:dyDescent="0.25">
      <c r="A231" s="2">
        <v>10137</v>
      </c>
      <c r="B231" s="1" t="s">
        <v>842</v>
      </c>
      <c r="C231" s="1" t="s">
        <v>843</v>
      </c>
      <c r="D231" s="1" t="s">
        <v>844</v>
      </c>
      <c r="E231" s="1" t="s">
        <v>13</v>
      </c>
      <c r="F231" s="1" t="s">
        <v>75</v>
      </c>
      <c r="G231" s="1">
        <v>3</v>
      </c>
      <c r="H231" s="1" t="s">
        <v>35</v>
      </c>
      <c r="I231" s="1">
        <v>0</v>
      </c>
      <c r="J231" s="1" t="s">
        <v>23</v>
      </c>
      <c r="K231" s="1">
        <v>40000</v>
      </c>
      <c r="L231" s="1" t="s">
        <v>89</v>
      </c>
      <c r="M231" s="3" t="s">
        <v>41</v>
      </c>
    </row>
    <row r="232" spans="1:13" x14ac:dyDescent="0.25">
      <c r="A232" s="2">
        <v>10138</v>
      </c>
      <c r="B232" s="1" t="s">
        <v>845</v>
      </c>
      <c r="C232" s="1" t="s">
        <v>163</v>
      </c>
      <c r="D232" s="1" t="s">
        <v>809</v>
      </c>
      <c r="E232" s="1" t="s">
        <v>13</v>
      </c>
      <c r="F232" s="1" t="s">
        <v>846</v>
      </c>
      <c r="G232" s="1">
        <v>5</v>
      </c>
      <c r="H232" s="1" t="s">
        <v>15</v>
      </c>
      <c r="I232" s="1">
        <v>0</v>
      </c>
      <c r="J232" s="1" t="s">
        <v>23</v>
      </c>
      <c r="K232" s="1">
        <v>53574</v>
      </c>
      <c r="L232" s="1" t="s">
        <v>71</v>
      </c>
      <c r="M232" s="3" t="s">
        <v>18</v>
      </c>
    </row>
    <row r="233" spans="1:13" x14ac:dyDescent="0.25">
      <c r="A233" s="2">
        <v>223670</v>
      </c>
      <c r="B233" s="1" t="s">
        <v>847</v>
      </c>
      <c r="C233" s="1" t="s">
        <v>483</v>
      </c>
      <c r="D233" s="1" t="s">
        <v>848</v>
      </c>
      <c r="E233" s="1" t="s">
        <v>33</v>
      </c>
      <c r="F233" s="1" t="s">
        <v>849</v>
      </c>
      <c r="G233" s="1">
        <v>1</v>
      </c>
      <c r="H233" s="1" t="s">
        <v>29</v>
      </c>
      <c r="I233" s="1">
        <v>1</v>
      </c>
      <c r="J233" s="1" t="s">
        <v>850</v>
      </c>
      <c r="K233" s="1">
        <v>40000</v>
      </c>
      <c r="L233" s="1" t="s">
        <v>17</v>
      </c>
      <c r="M233" s="3" t="s">
        <v>18</v>
      </c>
    </row>
    <row r="234" spans="1:13" x14ac:dyDescent="0.25">
      <c r="A234" s="2">
        <v>10139</v>
      </c>
      <c r="B234" s="1" t="s">
        <v>851</v>
      </c>
      <c r="C234" s="1" t="s">
        <v>852</v>
      </c>
      <c r="D234" s="1" t="s">
        <v>853</v>
      </c>
      <c r="E234" s="1" t="s">
        <v>33</v>
      </c>
      <c r="F234" s="1" t="s">
        <v>854</v>
      </c>
      <c r="G234" s="1">
        <v>7</v>
      </c>
      <c r="H234" s="1" t="s">
        <v>370</v>
      </c>
      <c r="I234" s="1">
        <v>0</v>
      </c>
      <c r="J234" s="1" t="s">
        <v>23</v>
      </c>
      <c r="K234" s="1">
        <v>40000</v>
      </c>
      <c r="L234" s="1" t="s">
        <v>17</v>
      </c>
      <c r="M234" s="3" t="s">
        <v>55</v>
      </c>
    </row>
    <row r="235" spans="1:13" x14ac:dyDescent="0.25">
      <c r="A235" s="2">
        <v>10140</v>
      </c>
      <c r="B235" s="1" t="s">
        <v>855</v>
      </c>
      <c r="C235" s="1" t="s">
        <v>856</v>
      </c>
      <c r="D235" s="1" t="s">
        <v>857</v>
      </c>
      <c r="E235" s="1" t="s">
        <v>33</v>
      </c>
      <c r="F235" s="1" t="s">
        <v>858</v>
      </c>
      <c r="G235" s="1">
        <v>2</v>
      </c>
      <c r="H235" s="1" t="s">
        <v>35</v>
      </c>
      <c r="I235" s="1">
        <v>0</v>
      </c>
      <c r="J235" s="1" t="s">
        <v>23</v>
      </c>
      <c r="K235" s="1">
        <v>61352</v>
      </c>
      <c r="L235" s="1" t="s">
        <v>125</v>
      </c>
      <c r="M235" s="3" t="s">
        <v>41</v>
      </c>
    </row>
    <row r="236" spans="1:13" x14ac:dyDescent="0.25">
      <c r="A236" s="2">
        <v>209422</v>
      </c>
      <c r="B236" s="1" t="s">
        <v>859</v>
      </c>
      <c r="C236" s="1" t="s">
        <v>860</v>
      </c>
      <c r="D236" s="1" t="s">
        <v>861</v>
      </c>
      <c r="E236" s="1" t="s">
        <v>13</v>
      </c>
      <c r="F236" s="1" t="s">
        <v>862</v>
      </c>
      <c r="G236" s="1">
        <v>2</v>
      </c>
      <c r="H236" s="1" t="s">
        <v>35</v>
      </c>
      <c r="I236" s="1">
        <v>0</v>
      </c>
      <c r="J236" s="1" t="s">
        <v>23</v>
      </c>
      <c r="K236" s="1">
        <v>72780</v>
      </c>
      <c r="L236" s="1" t="s">
        <v>24</v>
      </c>
      <c r="M236" s="3" t="s">
        <v>55</v>
      </c>
    </row>
    <row r="237" spans="1:13" x14ac:dyDescent="0.25">
      <c r="A237" s="2">
        <v>10141</v>
      </c>
      <c r="B237" s="1" t="s">
        <v>863</v>
      </c>
      <c r="C237" s="1" t="s">
        <v>158</v>
      </c>
      <c r="D237" s="1" t="s">
        <v>864</v>
      </c>
      <c r="E237" s="1" t="s">
        <v>33</v>
      </c>
      <c r="F237" s="1" t="s">
        <v>865</v>
      </c>
      <c r="G237" s="1">
        <v>9</v>
      </c>
      <c r="H237" s="1" t="s">
        <v>138</v>
      </c>
      <c r="I237" s="1">
        <v>1</v>
      </c>
      <c r="J237" s="1" t="s">
        <v>866</v>
      </c>
      <c r="K237" s="1">
        <v>62907</v>
      </c>
      <c r="L237" s="1" t="s">
        <v>61</v>
      </c>
      <c r="M237" s="3" t="s">
        <v>102</v>
      </c>
    </row>
    <row r="238" spans="1:13" x14ac:dyDescent="0.25">
      <c r="A238" s="2">
        <v>10142</v>
      </c>
      <c r="B238" s="1" t="s">
        <v>867</v>
      </c>
      <c r="C238" s="1" t="s">
        <v>57</v>
      </c>
      <c r="D238" s="1" t="s">
        <v>868</v>
      </c>
      <c r="E238" s="1" t="s">
        <v>13</v>
      </c>
      <c r="F238" s="1" t="s">
        <v>869</v>
      </c>
      <c r="G238" s="1">
        <v>5</v>
      </c>
      <c r="H238" s="1" t="s">
        <v>15</v>
      </c>
      <c r="I238" s="1">
        <v>0</v>
      </c>
      <c r="J238" s="1" t="s">
        <v>23</v>
      </c>
      <c r="K238" s="1">
        <v>40000</v>
      </c>
      <c r="L238" s="1" t="s">
        <v>17</v>
      </c>
      <c r="M238" s="3" t="s">
        <v>18</v>
      </c>
    </row>
    <row r="239" spans="1:13" x14ac:dyDescent="0.25">
      <c r="A239" s="2">
        <v>403328</v>
      </c>
      <c r="B239" s="1" t="s">
        <v>870</v>
      </c>
      <c r="C239" s="1" t="s">
        <v>871</v>
      </c>
      <c r="D239" s="1" t="s">
        <v>872</v>
      </c>
      <c r="E239" s="1" t="s">
        <v>13</v>
      </c>
      <c r="F239" s="1" t="s">
        <v>873</v>
      </c>
      <c r="G239" s="1">
        <v>4</v>
      </c>
      <c r="H239" s="1" t="s">
        <v>15</v>
      </c>
      <c r="I239" s="1">
        <v>0</v>
      </c>
      <c r="J239" s="1" t="s">
        <v>23</v>
      </c>
      <c r="K239" s="1">
        <v>40000</v>
      </c>
      <c r="L239" s="1" t="s">
        <v>24</v>
      </c>
      <c r="M239" s="3" t="s">
        <v>18</v>
      </c>
    </row>
    <row r="240" spans="1:13" x14ac:dyDescent="0.25">
      <c r="A240" s="2">
        <v>403328</v>
      </c>
      <c r="B240" s="1" t="s">
        <v>870</v>
      </c>
      <c r="C240" s="1" t="s">
        <v>871</v>
      </c>
      <c r="D240" s="1" t="s">
        <v>872</v>
      </c>
      <c r="E240" s="1" t="s">
        <v>13</v>
      </c>
      <c r="F240" s="1" t="s">
        <v>873</v>
      </c>
      <c r="G240" s="1">
        <v>4</v>
      </c>
      <c r="H240" s="1" t="s">
        <v>15</v>
      </c>
      <c r="I240" s="1">
        <v>0</v>
      </c>
      <c r="J240" s="1" t="s">
        <v>23</v>
      </c>
      <c r="K240" s="1">
        <v>40000</v>
      </c>
      <c r="L240" s="1" t="s">
        <v>89</v>
      </c>
      <c r="M240" s="3" t="s">
        <v>18</v>
      </c>
    </row>
    <row r="241" spans="1:13" x14ac:dyDescent="0.25">
      <c r="A241" s="2">
        <v>10143</v>
      </c>
      <c r="B241" s="1" t="s">
        <v>874</v>
      </c>
      <c r="C241" s="1" t="s">
        <v>875</v>
      </c>
      <c r="D241" s="1" t="s">
        <v>402</v>
      </c>
      <c r="E241" s="1" t="s">
        <v>13</v>
      </c>
      <c r="F241" s="1" t="s">
        <v>876</v>
      </c>
      <c r="G241" s="1">
        <v>7</v>
      </c>
      <c r="H241" s="1" t="s">
        <v>29</v>
      </c>
      <c r="I241" s="1">
        <v>0</v>
      </c>
      <c r="J241" s="1" t="s">
        <v>23</v>
      </c>
      <c r="K241" s="1">
        <v>40000</v>
      </c>
      <c r="L241" s="1" t="s">
        <v>17</v>
      </c>
      <c r="M241" s="3" t="s">
        <v>18</v>
      </c>
    </row>
    <row r="242" spans="1:13" x14ac:dyDescent="0.25">
      <c r="A242" s="2">
        <v>10144</v>
      </c>
      <c r="B242" s="1" t="s">
        <v>877</v>
      </c>
      <c r="C242" s="1" t="s">
        <v>878</v>
      </c>
      <c r="D242" s="1" t="s">
        <v>879</v>
      </c>
      <c r="E242" s="1" t="s">
        <v>13</v>
      </c>
      <c r="F242" s="1" t="s">
        <v>445</v>
      </c>
      <c r="G242" s="1">
        <v>1</v>
      </c>
      <c r="H242" s="1" t="s">
        <v>29</v>
      </c>
      <c r="I242" s="1">
        <v>0</v>
      </c>
      <c r="J242" s="1" t="s">
        <v>23</v>
      </c>
      <c r="K242" s="1">
        <v>56720</v>
      </c>
      <c r="L242" s="1" t="s">
        <v>108</v>
      </c>
      <c r="M242" s="3" t="s">
        <v>41</v>
      </c>
    </row>
    <row r="243" spans="1:13" x14ac:dyDescent="0.25">
      <c r="A243" s="2">
        <v>10144</v>
      </c>
      <c r="B243" s="1" t="s">
        <v>877</v>
      </c>
      <c r="C243" s="1" t="s">
        <v>878</v>
      </c>
      <c r="D243" s="1" t="s">
        <v>879</v>
      </c>
      <c r="E243" s="1" t="s">
        <v>13</v>
      </c>
      <c r="F243" s="1" t="s">
        <v>445</v>
      </c>
      <c r="G243" s="1">
        <v>1</v>
      </c>
      <c r="H243" s="1" t="s">
        <v>29</v>
      </c>
      <c r="I243" s="1">
        <v>0</v>
      </c>
      <c r="J243" s="1" t="s">
        <v>23</v>
      </c>
      <c r="K243" s="1">
        <v>56720</v>
      </c>
      <c r="L243" s="1" t="s">
        <v>46</v>
      </c>
      <c r="M243" s="3" t="s">
        <v>41</v>
      </c>
    </row>
    <row r="244" spans="1:13" x14ac:dyDescent="0.25">
      <c r="A244" s="2">
        <v>292694</v>
      </c>
      <c r="B244" s="1" t="s">
        <v>880</v>
      </c>
      <c r="C244" s="1" t="s">
        <v>881</v>
      </c>
      <c r="D244" s="1" t="s">
        <v>243</v>
      </c>
      <c r="E244" s="1" t="s">
        <v>13</v>
      </c>
      <c r="F244" s="1" t="s">
        <v>882</v>
      </c>
      <c r="G244" s="1">
        <v>10</v>
      </c>
      <c r="H244" s="1" t="s">
        <v>15</v>
      </c>
      <c r="I244" s="1">
        <v>0</v>
      </c>
      <c r="J244" s="1" t="s">
        <v>23</v>
      </c>
      <c r="K244" s="1">
        <v>40000</v>
      </c>
      <c r="L244" s="1" t="s">
        <v>24</v>
      </c>
      <c r="M244" s="3" t="s">
        <v>18</v>
      </c>
    </row>
    <row r="245" spans="1:13" x14ac:dyDescent="0.25">
      <c r="A245" s="2">
        <v>10145</v>
      </c>
      <c r="B245" s="1" t="s">
        <v>883</v>
      </c>
      <c r="C245" s="1" t="s">
        <v>642</v>
      </c>
      <c r="D245" s="1" t="s">
        <v>748</v>
      </c>
      <c r="E245" s="1" t="s">
        <v>33</v>
      </c>
      <c r="F245" s="1" t="s">
        <v>884</v>
      </c>
      <c r="G245" s="1">
        <v>4</v>
      </c>
      <c r="H245" s="1" t="s">
        <v>29</v>
      </c>
      <c r="I245" s="1">
        <v>0</v>
      </c>
      <c r="J245" s="1" t="s">
        <v>23</v>
      </c>
      <c r="K245" s="1">
        <v>47612</v>
      </c>
      <c r="L245" s="1" t="s">
        <v>17</v>
      </c>
      <c r="M245" s="3" t="s">
        <v>55</v>
      </c>
    </row>
    <row r="246" spans="1:13" x14ac:dyDescent="0.25">
      <c r="A246" s="2">
        <v>10146</v>
      </c>
      <c r="B246" s="1" t="s">
        <v>885</v>
      </c>
      <c r="C246" s="1" t="s">
        <v>886</v>
      </c>
      <c r="D246" s="1" t="s">
        <v>887</v>
      </c>
      <c r="E246" s="1" t="s">
        <v>13</v>
      </c>
      <c r="F246" s="1" t="s">
        <v>888</v>
      </c>
      <c r="G246" s="1">
        <v>6</v>
      </c>
      <c r="H246" s="1" t="s">
        <v>35</v>
      </c>
      <c r="I246" s="1">
        <v>0</v>
      </c>
      <c r="J246" s="1" t="s">
        <v>23</v>
      </c>
      <c r="K246" s="1">
        <v>60394</v>
      </c>
      <c r="L246" s="1" t="s">
        <v>108</v>
      </c>
      <c r="M246" s="3" t="s">
        <v>41</v>
      </c>
    </row>
    <row r="247" spans="1:13" x14ac:dyDescent="0.25">
      <c r="A247" s="2">
        <v>10147</v>
      </c>
      <c r="B247" s="1" t="s">
        <v>889</v>
      </c>
      <c r="C247" s="1" t="s">
        <v>118</v>
      </c>
      <c r="D247" s="1" t="s">
        <v>702</v>
      </c>
      <c r="E247" s="1" t="s">
        <v>13</v>
      </c>
      <c r="F247" s="1" t="s">
        <v>890</v>
      </c>
      <c r="G247" s="1">
        <v>1</v>
      </c>
      <c r="H247" s="1" t="s">
        <v>29</v>
      </c>
      <c r="I247" s="1">
        <v>0</v>
      </c>
      <c r="J247" s="1" t="s">
        <v>23</v>
      </c>
      <c r="K247" s="1">
        <v>40000</v>
      </c>
      <c r="L247" s="1" t="s">
        <v>108</v>
      </c>
      <c r="M247" s="3" t="s">
        <v>41</v>
      </c>
    </row>
    <row r="248" spans="1:13" x14ac:dyDescent="0.25">
      <c r="A248" s="2">
        <v>270554</v>
      </c>
      <c r="B248" s="1" t="s">
        <v>891</v>
      </c>
      <c r="C248" s="1" t="s">
        <v>892</v>
      </c>
      <c r="D248" s="1" t="s">
        <v>893</v>
      </c>
      <c r="E248" s="1" t="s">
        <v>33</v>
      </c>
      <c r="F248" s="1" t="s">
        <v>894</v>
      </c>
      <c r="G248" s="1">
        <v>7</v>
      </c>
      <c r="H248" s="1" t="s">
        <v>29</v>
      </c>
      <c r="I248" s="1">
        <v>0</v>
      </c>
      <c r="J248" s="1" t="s">
        <v>23</v>
      </c>
      <c r="K248" s="1">
        <v>40000</v>
      </c>
      <c r="L248" s="1" t="s">
        <v>61</v>
      </c>
      <c r="M248" s="3" t="s">
        <v>41</v>
      </c>
    </row>
    <row r="249" spans="1:13" x14ac:dyDescent="0.25">
      <c r="A249" s="2">
        <v>10148</v>
      </c>
      <c r="B249" s="1" t="s">
        <v>895</v>
      </c>
      <c r="C249" s="1" t="s">
        <v>896</v>
      </c>
      <c r="D249" s="1" t="s">
        <v>897</v>
      </c>
      <c r="E249" s="1" t="s">
        <v>13</v>
      </c>
      <c r="F249" s="1" t="s">
        <v>898</v>
      </c>
      <c r="G249" s="1">
        <v>1</v>
      </c>
      <c r="H249" s="1" t="s">
        <v>35</v>
      </c>
      <c r="I249" s="1">
        <v>0</v>
      </c>
      <c r="J249" s="1" t="s">
        <v>23</v>
      </c>
      <c r="K249" s="1">
        <v>63021</v>
      </c>
      <c r="L249" s="1" t="s">
        <v>40</v>
      </c>
      <c r="M249" s="3" t="s">
        <v>41</v>
      </c>
    </row>
    <row r="250" spans="1:13" x14ac:dyDescent="0.25">
      <c r="A250" s="2">
        <v>10149</v>
      </c>
      <c r="B250" s="1" t="s">
        <v>899</v>
      </c>
      <c r="C250" s="1" t="s">
        <v>900</v>
      </c>
      <c r="D250" s="1" t="s">
        <v>163</v>
      </c>
      <c r="E250" s="1" t="s">
        <v>33</v>
      </c>
      <c r="F250" s="1" t="s">
        <v>901</v>
      </c>
      <c r="G250" s="1">
        <v>7</v>
      </c>
      <c r="H250" s="1" t="s">
        <v>35</v>
      </c>
      <c r="I250" s="1">
        <v>0</v>
      </c>
      <c r="J250" s="1" t="s">
        <v>23</v>
      </c>
      <c r="K250" s="1">
        <v>88740</v>
      </c>
      <c r="L250" s="1" t="s">
        <v>40</v>
      </c>
      <c r="M250" s="3" t="s">
        <v>41</v>
      </c>
    </row>
    <row r="251" spans="1:13" x14ac:dyDescent="0.25">
      <c r="A251" s="2">
        <v>37601</v>
      </c>
      <c r="B251" s="1" t="s">
        <v>902</v>
      </c>
      <c r="C251" s="1" t="s">
        <v>903</v>
      </c>
      <c r="D251" s="1" t="s">
        <v>904</v>
      </c>
      <c r="E251" s="1" t="s">
        <v>13</v>
      </c>
      <c r="F251" s="1" t="s">
        <v>905</v>
      </c>
      <c r="G251" s="1">
        <v>1</v>
      </c>
      <c r="H251" s="1" t="s">
        <v>29</v>
      </c>
      <c r="I251" s="1">
        <v>0</v>
      </c>
      <c r="J251" s="1" t="s">
        <v>23</v>
      </c>
      <c r="K251" s="1">
        <v>58896</v>
      </c>
      <c r="L251" s="1" t="s">
        <v>40</v>
      </c>
      <c r="M251" s="3" t="s">
        <v>41</v>
      </c>
    </row>
    <row r="252" spans="1:13" x14ac:dyDescent="0.25">
      <c r="A252" s="2">
        <v>10150</v>
      </c>
      <c r="B252" s="1" t="s">
        <v>906</v>
      </c>
      <c r="C252" s="1" t="s">
        <v>907</v>
      </c>
      <c r="D252" s="1" t="s">
        <v>908</v>
      </c>
      <c r="E252" s="1" t="s">
        <v>33</v>
      </c>
      <c r="F252" s="1" t="s">
        <v>909</v>
      </c>
      <c r="G252" s="1">
        <v>6</v>
      </c>
      <c r="H252" s="1" t="s">
        <v>29</v>
      </c>
      <c r="I252" s="1">
        <v>0</v>
      </c>
      <c r="J252" s="1" t="s">
        <v>23</v>
      </c>
      <c r="K252" s="1">
        <v>70122</v>
      </c>
      <c r="L252" s="1" t="s">
        <v>17</v>
      </c>
      <c r="M252" s="3" t="s">
        <v>18</v>
      </c>
    </row>
    <row r="253" spans="1:13" x14ac:dyDescent="0.25">
      <c r="A253" s="2">
        <v>10151</v>
      </c>
      <c r="B253" s="1" t="s">
        <v>910</v>
      </c>
      <c r="C253" s="1" t="s">
        <v>911</v>
      </c>
      <c r="D253" s="1" t="s">
        <v>912</v>
      </c>
      <c r="E253" s="1" t="s">
        <v>13</v>
      </c>
      <c r="F253" s="1" t="s">
        <v>913</v>
      </c>
      <c r="G253" s="1">
        <v>7</v>
      </c>
      <c r="H253" s="1" t="s">
        <v>15</v>
      </c>
      <c r="I253" s="1">
        <v>0</v>
      </c>
      <c r="J253" s="1" t="s">
        <v>23</v>
      </c>
      <c r="K253" s="1">
        <v>90741</v>
      </c>
      <c r="L253" s="1" t="s">
        <v>40</v>
      </c>
      <c r="M253" s="3" t="s">
        <v>41</v>
      </c>
    </row>
    <row r="254" spans="1:13" x14ac:dyDescent="0.25">
      <c r="A254" s="2">
        <v>437985</v>
      </c>
      <c r="B254" s="1" t="s">
        <v>914</v>
      </c>
      <c r="C254" s="1" t="s">
        <v>443</v>
      </c>
      <c r="D254" s="1" t="s">
        <v>915</v>
      </c>
      <c r="E254" s="1" t="s">
        <v>13</v>
      </c>
      <c r="F254" s="1" t="s">
        <v>916</v>
      </c>
      <c r="G254" s="1">
        <v>4</v>
      </c>
      <c r="H254" s="1" t="s">
        <v>35</v>
      </c>
      <c r="I254" s="1">
        <v>0</v>
      </c>
      <c r="J254" s="1" t="s">
        <v>23</v>
      </c>
      <c r="K254" s="1">
        <v>53517</v>
      </c>
      <c r="L254" s="1" t="s">
        <v>40</v>
      </c>
      <c r="M254" s="3" t="s">
        <v>41</v>
      </c>
    </row>
    <row r="255" spans="1:13" x14ac:dyDescent="0.25">
      <c r="A255" s="2">
        <v>10152</v>
      </c>
      <c r="B255" s="1" t="s">
        <v>917</v>
      </c>
      <c r="C255" s="1" t="s">
        <v>918</v>
      </c>
      <c r="D255" s="1" t="s">
        <v>919</v>
      </c>
      <c r="E255" s="1" t="s">
        <v>33</v>
      </c>
      <c r="F255" s="1" t="s">
        <v>920</v>
      </c>
      <c r="G255" s="1">
        <v>10</v>
      </c>
      <c r="H255" s="1" t="s">
        <v>15</v>
      </c>
      <c r="I255" s="1">
        <v>0</v>
      </c>
      <c r="J255" s="1" t="s">
        <v>23</v>
      </c>
      <c r="K255" s="1">
        <v>40000</v>
      </c>
      <c r="L255" s="1" t="s">
        <v>71</v>
      </c>
      <c r="M255" s="3" t="s">
        <v>55</v>
      </c>
    </row>
    <row r="256" spans="1:13" x14ac:dyDescent="0.25">
      <c r="A256" s="2">
        <v>10153</v>
      </c>
      <c r="B256" s="1" t="s">
        <v>921</v>
      </c>
      <c r="C256" s="1" t="s">
        <v>922</v>
      </c>
      <c r="D256" s="1" t="s">
        <v>923</v>
      </c>
      <c r="E256" s="1" t="s">
        <v>13</v>
      </c>
      <c r="F256" s="1" t="s">
        <v>924</v>
      </c>
      <c r="G256" s="1">
        <v>3</v>
      </c>
      <c r="H256" s="1" t="s">
        <v>29</v>
      </c>
      <c r="I256" s="1">
        <v>0</v>
      </c>
      <c r="J256" s="1" t="s">
        <v>23</v>
      </c>
      <c r="K256" s="1">
        <v>54246</v>
      </c>
      <c r="L256" s="1" t="s">
        <v>17</v>
      </c>
      <c r="M256" s="3" t="s">
        <v>66</v>
      </c>
    </row>
    <row r="257" spans="1:13" x14ac:dyDescent="0.25">
      <c r="A257" s="2">
        <v>14097</v>
      </c>
      <c r="B257" s="1" t="s">
        <v>925</v>
      </c>
      <c r="C257" s="1" t="s">
        <v>926</v>
      </c>
      <c r="D257" s="1" t="s">
        <v>927</v>
      </c>
      <c r="E257" s="1" t="s">
        <v>13</v>
      </c>
      <c r="F257" s="1" t="s">
        <v>928</v>
      </c>
      <c r="G257" s="1">
        <v>6</v>
      </c>
      <c r="H257" s="1" t="s">
        <v>15</v>
      </c>
      <c r="I257" s="1">
        <v>0</v>
      </c>
      <c r="J257" s="1" t="s">
        <v>23</v>
      </c>
      <c r="K257" s="1">
        <v>70604</v>
      </c>
      <c r="L257" s="1" t="s">
        <v>108</v>
      </c>
      <c r="M257" s="3" t="s">
        <v>41</v>
      </c>
    </row>
    <row r="258" spans="1:13" x14ac:dyDescent="0.25">
      <c r="A258" s="2">
        <v>10154</v>
      </c>
      <c r="B258" s="1" t="s">
        <v>929</v>
      </c>
      <c r="C258" s="1" t="s">
        <v>148</v>
      </c>
      <c r="D258" s="1" t="s">
        <v>930</v>
      </c>
      <c r="E258" s="1" t="s">
        <v>33</v>
      </c>
      <c r="F258" s="1" t="s">
        <v>931</v>
      </c>
      <c r="G258" s="1">
        <v>5</v>
      </c>
      <c r="H258" s="1" t="s">
        <v>15</v>
      </c>
      <c r="I258" s="1">
        <v>0</v>
      </c>
      <c r="J258" s="1" t="s">
        <v>23</v>
      </c>
      <c r="K258" s="1">
        <v>40000</v>
      </c>
      <c r="L258" s="1" t="s">
        <v>89</v>
      </c>
      <c r="M258" s="3" t="s">
        <v>41</v>
      </c>
    </row>
    <row r="259" spans="1:13" x14ac:dyDescent="0.25">
      <c r="A259" s="2">
        <v>10155</v>
      </c>
      <c r="B259" s="1" t="s">
        <v>932</v>
      </c>
      <c r="C259" s="1" t="s">
        <v>933</v>
      </c>
      <c r="D259" s="1" t="s">
        <v>934</v>
      </c>
      <c r="E259" s="1" t="s">
        <v>13</v>
      </c>
      <c r="F259" s="1" t="s">
        <v>935</v>
      </c>
      <c r="G259" s="1">
        <v>7</v>
      </c>
      <c r="H259" s="1" t="s">
        <v>138</v>
      </c>
      <c r="I259" s="1">
        <v>0</v>
      </c>
      <c r="J259" s="1" t="s">
        <v>23</v>
      </c>
      <c r="K259" s="1">
        <v>40040</v>
      </c>
      <c r="L259" s="1" t="s">
        <v>24</v>
      </c>
      <c r="M259" s="3" t="s">
        <v>41</v>
      </c>
    </row>
    <row r="260" spans="1:13" x14ac:dyDescent="0.25">
      <c r="A260" s="2">
        <v>10155</v>
      </c>
      <c r="B260" s="1" t="s">
        <v>932</v>
      </c>
      <c r="C260" s="1" t="s">
        <v>933</v>
      </c>
      <c r="D260" s="1" t="s">
        <v>934</v>
      </c>
      <c r="E260" s="1" t="s">
        <v>13</v>
      </c>
      <c r="F260" s="1" t="s">
        <v>935</v>
      </c>
      <c r="G260" s="1">
        <v>7</v>
      </c>
      <c r="H260" s="1" t="s">
        <v>138</v>
      </c>
      <c r="I260" s="1">
        <v>0</v>
      </c>
      <c r="J260" s="1" t="s">
        <v>23</v>
      </c>
      <c r="K260" s="1">
        <v>40040</v>
      </c>
      <c r="L260" s="1" t="s">
        <v>61</v>
      </c>
      <c r="M260" s="3" t="s">
        <v>41</v>
      </c>
    </row>
    <row r="261" spans="1:13" x14ac:dyDescent="0.25">
      <c r="A261" s="2">
        <v>221689</v>
      </c>
      <c r="B261" s="1" t="s">
        <v>936</v>
      </c>
      <c r="C261" s="1" t="s">
        <v>937</v>
      </c>
      <c r="D261" s="1" t="s">
        <v>938</v>
      </c>
      <c r="E261" s="1" t="s">
        <v>33</v>
      </c>
      <c r="F261" s="1" t="s">
        <v>939</v>
      </c>
      <c r="G261" s="1">
        <v>8</v>
      </c>
      <c r="H261" s="1" t="s">
        <v>35</v>
      </c>
      <c r="I261" s="1">
        <v>0</v>
      </c>
      <c r="J261" s="1" t="s">
        <v>23</v>
      </c>
      <c r="K261" s="1">
        <v>67589</v>
      </c>
      <c r="L261" s="1" t="s">
        <v>17</v>
      </c>
      <c r="M261" s="3" t="s">
        <v>18</v>
      </c>
    </row>
    <row r="262" spans="1:13" x14ac:dyDescent="0.25">
      <c r="A262" s="2">
        <v>10156</v>
      </c>
      <c r="B262" s="1" t="s">
        <v>291</v>
      </c>
      <c r="C262" s="1" t="s">
        <v>940</v>
      </c>
      <c r="D262" s="1" t="s">
        <v>941</v>
      </c>
      <c r="E262" s="1" t="s">
        <v>13</v>
      </c>
      <c r="F262" s="1" t="s">
        <v>942</v>
      </c>
      <c r="G262" s="1">
        <v>5</v>
      </c>
      <c r="H262" s="1" t="s">
        <v>35</v>
      </c>
      <c r="I262" s="1">
        <v>0</v>
      </c>
      <c r="J262" s="1" t="s">
        <v>23</v>
      </c>
      <c r="K262" s="1">
        <v>49879</v>
      </c>
      <c r="L262" s="1" t="s">
        <v>71</v>
      </c>
      <c r="M262" s="3" t="s">
        <v>18</v>
      </c>
    </row>
    <row r="263" spans="1:13" x14ac:dyDescent="0.25">
      <c r="A263" s="2">
        <v>62117</v>
      </c>
      <c r="B263" s="1" t="s">
        <v>371</v>
      </c>
      <c r="C263" s="1" t="s">
        <v>167</v>
      </c>
      <c r="D263" s="1" t="s">
        <v>943</v>
      </c>
      <c r="E263" s="1" t="s">
        <v>33</v>
      </c>
      <c r="F263" s="1" t="s">
        <v>944</v>
      </c>
      <c r="G263" s="1">
        <v>7</v>
      </c>
      <c r="H263" s="1" t="s">
        <v>35</v>
      </c>
      <c r="I263" s="1">
        <v>0</v>
      </c>
      <c r="J263" s="1" t="s">
        <v>23</v>
      </c>
      <c r="K263" s="1">
        <v>40000</v>
      </c>
      <c r="L263" s="1" t="s">
        <v>17</v>
      </c>
      <c r="M263" s="3" t="s">
        <v>18</v>
      </c>
    </row>
    <row r="264" spans="1:13" x14ac:dyDescent="0.25">
      <c r="A264" s="2">
        <v>10157</v>
      </c>
      <c r="B264" s="1" t="s">
        <v>945</v>
      </c>
      <c r="C264" s="1" t="s">
        <v>946</v>
      </c>
      <c r="D264" s="1" t="s">
        <v>947</v>
      </c>
      <c r="E264" s="1" t="s">
        <v>13</v>
      </c>
      <c r="F264" s="1" t="s">
        <v>948</v>
      </c>
      <c r="G264" s="1">
        <v>8</v>
      </c>
      <c r="H264" s="1" t="s">
        <v>15</v>
      </c>
      <c r="I264" s="1">
        <v>0</v>
      </c>
      <c r="J264" s="1" t="s">
        <v>23</v>
      </c>
      <c r="K264" s="1">
        <v>48770</v>
      </c>
      <c r="L264" s="1" t="s">
        <v>17</v>
      </c>
      <c r="M264" s="3" t="s">
        <v>18</v>
      </c>
    </row>
    <row r="265" spans="1:13" x14ac:dyDescent="0.25">
      <c r="A265" s="2">
        <v>10158</v>
      </c>
      <c r="B265" s="1" t="s">
        <v>949</v>
      </c>
      <c r="C265" s="1" t="s">
        <v>950</v>
      </c>
      <c r="D265" s="1" t="s">
        <v>951</v>
      </c>
      <c r="E265" s="1" t="s">
        <v>13</v>
      </c>
      <c r="F265" s="1" t="s">
        <v>952</v>
      </c>
      <c r="G265" s="1">
        <v>10</v>
      </c>
      <c r="H265" s="1" t="s">
        <v>29</v>
      </c>
      <c r="I265" s="1">
        <v>1</v>
      </c>
      <c r="J265" s="1" t="s">
        <v>953</v>
      </c>
      <c r="K265" s="1">
        <v>40725</v>
      </c>
      <c r="L265" s="1" t="s">
        <v>24</v>
      </c>
      <c r="M265" s="3" t="s">
        <v>18</v>
      </c>
    </row>
    <row r="266" spans="1:13" x14ac:dyDescent="0.25">
      <c r="A266" s="2">
        <v>213813</v>
      </c>
      <c r="B266" s="1" t="s">
        <v>954</v>
      </c>
      <c r="C266" s="1" t="s">
        <v>955</v>
      </c>
      <c r="D266" s="1" t="s">
        <v>956</v>
      </c>
      <c r="E266" s="1" t="s">
        <v>13</v>
      </c>
      <c r="F266" s="1" t="s">
        <v>957</v>
      </c>
      <c r="G266" s="1">
        <v>10</v>
      </c>
      <c r="H266" s="1" t="s">
        <v>35</v>
      </c>
      <c r="I266" s="1">
        <v>0</v>
      </c>
      <c r="J266" s="1" t="s">
        <v>23</v>
      </c>
      <c r="K266" s="1">
        <v>51196</v>
      </c>
      <c r="L266" s="1" t="s">
        <v>108</v>
      </c>
      <c r="M266" s="3" t="s">
        <v>41</v>
      </c>
    </row>
    <row r="267" spans="1:13" x14ac:dyDescent="0.25">
      <c r="A267" s="2">
        <v>10159</v>
      </c>
      <c r="B267" s="1" t="s">
        <v>958</v>
      </c>
      <c r="C267" s="1" t="s">
        <v>959</v>
      </c>
      <c r="D267" s="1" t="s">
        <v>960</v>
      </c>
      <c r="E267" s="1" t="s">
        <v>13</v>
      </c>
      <c r="F267" s="1" t="s">
        <v>961</v>
      </c>
      <c r="G267" s="1">
        <v>5</v>
      </c>
      <c r="H267" s="1" t="s">
        <v>35</v>
      </c>
      <c r="I267" s="1">
        <v>0</v>
      </c>
      <c r="J267" s="1" t="s">
        <v>23</v>
      </c>
      <c r="K267" s="1">
        <v>52881</v>
      </c>
      <c r="L267" s="1" t="s">
        <v>71</v>
      </c>
      <c r="M267" s="3" t="s">
        <v>18</v>
      </c>
    </row>
    <row r="268" spans="1:13" x14ac:dyDescent="0.25">
      <c r="A268" s="2">
        <v>10160</v>
      </c>
      <c r="B268" s="1" t="s">
        <v>962</v>
      </c>
      <c r="C268" s="1" t="s">
        <v>963</v>
      </c>
      <c r="D268" s="1" t="s">
        <v>964</v>
      </c>
      <c r="E268" s="1" t="s">
        <v>13</v>
      </c>
      <c r="F268" s="1" t="s">
        <v>965</v>
      </c>
      <c r="G268" s="1">
        <v>5</v>
      </c>
      <c r="H268" s="1" t="s">
        <v>15</v>
      </c>
      <c r="I268" s="1">
        <v>0</v>
      </c>
      <c r="J268" s="1" t="s">
        <v>23</v>
      </c>
      <c r="K268" s="1">
        <v>91622</v>
      </c>
      <c r="L268" s="1" t="s">
        <v>40</v>
      </c>
      <c r="M268" s="3" t="s">
        <v>41</v>
      </c>
    </row>
    <row r="269" spans="1:13" x14ac:dyDescent="0.25">
      <c r="A269" s="2">
        <v>28823</v>
      </c>
      <c r="B269" s="1" t="s">
        <v>966</v>
      </c>
      <c r="C269" s="1" t="s">
        <v>967</v>
      </c>
      <c r="D269" s="1" t="s">
        <v>968</v>
      </c>
      <c r="E269" s="1" t="s">
        <v>13</v>
      </c>
      <c r="F269" s="1" t="s">
        <v>969</v>
      </c>
      <c r="G269" s="1">
        <v>2</v>
      </c>
      <c r="H269" s="1" t="s">
        <v>35</v>
      </c>
      <c r="I269" s="1">
        <v>0</v>
      </c>
      <c r="J269" s="1" t="s">
        <v>23</v>
      </c>
      <c r="K269" s="1">
        <v>62549</v>
      </c>
      <c r="L269" s="1" t="s">
        <v>40</v>
      </c>
      <c r="M269" s="3" t="s">
        <v>41</v>
      </c>
    </row>
    <row r="270" spans="1:13" x14ac:dyDescent="0.25">
      <c r="A270" s="2">
        <v>10161</v>
      </c>
      <c r="B270" s="1" t="s">
        <v>970</v>
      </c>
      <c r="C270" s="1" t="s">
        <v>381</v>
      </c>
      <c r="D270" s="1" t="s">
        <v>971</v>
      </c>
      <c r="E270" s="1" t="s">
        <v>33</v>
      </c>
      <c r="F270" s="1" t="s">
        <v>972</v>
      </c>
      <c r="G270" s="1">
        <v>4</v>
      </c>
      <c r="H270" s="1" t="s">
        <v>29</v>
      </c>
      <c r="I270" s="1">
        <v>0</v>
      </c>
      <c r="J270" s="1" t="s">
        <v>23</v>
      </c>
      <c r="K270" s="1">
        <v>43149</v>
      </c>
      <c r="L270" s="1" t="s">
        <v>24</v>
      </c>
      <c r="M270" s="3" t="s">
        <v>55</v>
      </c>
    </row>
    <row r="271" spans="1:13" x14ac:dyDescent="0.25">
      <c r="A271" s="2">
        <v>10162</v>
      </c>
      <c r="B271" s="1" t="s">
        <v>973</v>
      </c>
      <c r="C271" s="1" t="s">
        <v>974</v>
      </c>
      <c r="D271" s="1" t="s">
        <v>551</v>
      </c>
      <c r="E271" s="1" t="s">
        <v>13</v>
      </c>
      <c r="F271" s="1" t="s">
        <v>975</v>
      </c>
      <c r="G271" s="1">
        <v>1</v>
      </c>
      <c r="H271" s="1" t="s">
        <v>15</v>
      </c>
      <c r="I271" s="1">
        <v>0</v>
      </c>
      <c r="J271" s="1" t="s">
        <v>23</v>
      </c>
      <c r="K271" s="1">
        <v>40000</v>
      </c>
      <c r="L271" s="1" t="s">
        <v>24</v>
      </c>
      <c r="M271" s="3" t="s">
        <v>55</v>
      </c>
    </row>
    <row r="272" spans="1:13" x14ac:dyDescent="0.25">
      <c r="A272" s="2">
        <v>284330</v>
      </c>
      <c r="B272" s="1" t="s">
        <v>976</v>
      </c>
      <c r="C272" s="1" t="s">
        <v>977</v>
      </c>
      <c r="D272" s="1" t="s">
        <v>978</v>
      </c>
      <c r="E272" s="1" t="s">
        <v>33</v>
      </c>
      <c r="F272" s="1" t="s">
        <v>979</v>
      </c>
      <c r="G272" s="1">
        <v>5</v>
      </c>
      <c r="H272" s="1" t="s">
        <v>29</v>
      </c>
      <c r="I272" s="1">
        <v>0</v>
      </c>
      <c r="J272" s="1" t="s">
        <v>23</v>
      </c>
      <c r="K272" s="1">
        <v>43654</v>
      </c>
      <c r="L272" s="1" t="s">
        <v>24</v>
      </c>
      <c r="M272" s="3" t="s">
        <v>55</v>
      </c>
    </row>
    <row r="273" spans="1:13" x14ac:dyDescent="0.25">
      <c r="A273" s="2">
        <v>10163</v>
      </c>
      <c r="B273" s="1" t="s">
        <v>980</v>
      </c>
      <c r="C273" s="1" t="s">
        <v>214</v>
      </c>
      <c r="D273" s="1" t="s">
        <v>981</v>
      </c>
      <c r="E273" s="1" t="s">
        <v>13</v>
      </c>
      <c r="F273" s="1" t="s">
        <v>982</v>
      </c>
      <c r="G273" s="1">
        <v>3</v>
      </c>
      <c r="H273" s="1" t="s">
        <v>15</v>
      </c>
      <c r="I273" s="1">
        <v>0</v>
      </c>
      <c r="J273" s="1" t="s">
        <v>23</v>
      </c>
      <c r="K273" s="1">
        <v>41603</v>
      </c>
      <c r="L273" s="1" t="s">
        <v>46</v>
      </c>
      <c r="M273" s="3" t="s">
        <v>102</v>
      </c>
    </row>
    <row r="274" spans="1:13" x14ac:dyDescent="0.25">
      <c r="A274" s="2">
        <v>10164</v>
      </c>
      <c r="B274" s="1" t="s">
        <v>983</v>
      </c>
      <c r="C274" s="1" t="s">
        <v>984</v>
      </c>
      <c r="D274" s="1" t="s">
        <v>985</v>
      </c>
      <c r="E274" s="1" t="s">
        <v>13</v>
      </c>
      <c r="F274" s="1" t="s">
        <v>986</v>
      </c>
      <c r="G274" s="1">
        <v>9</v>
      </c>
      <c r="H274" s="1" t="s">
        <v>29</v>
      </c>
      <c r="I274" s="1">
        <v>0</v>
      </c>
      <c r="J274" s="1" t="s">
        <v>23</v>
      </c>
      <c r="K274" s="1">
        <v>52043</v>
      </c>
      <c r="L274" s="1" t="s">
        <v>24</v>
      </c>
      <c r="M274" s="3" t="s">
        <v>18</v>
      </c>
    </row>
    <row r="275" spans="1:13" x14ac:dyDescent="0.25">
      <c r="A275" s="2">
        <v>10164</v>
      </c>
      <c r="B275" s="1" t="s">
        <v>983</v>
      </c>
      <c r="C275" s="1" t="s">
        <v>984</v>
      </c>
      <c r="D275" s="1" t="s">
        <v>985</v>
      </c>
      <c r="E275" s="1" t="s">
        <v>13</v>
      </c>
      <c r="F275" s="1" t="s">
        <v>986</v>
      </c>
      <c r="G275" s="1">
        <v>9</v>
      </c>
      <c r="H275" s="1" t="s">
        <v>29</v>
      </c>
      <c r="I275" s="1">
        <v>0</v>
      </c>
      <c r="J275" s="1" t="s">
        <v>23</v>
      </c>
      <c r="K275" s="1">
        <v>52043</v>
      </c>
      <c r="L275" s="1" t="s">
        <v>89</v>
      </c>
      <c r="M275" s="3" t="s">
        <v>18</v>
      </c>
    </row>
    <row r="276" spans="1:13" x14ac:dyDescent="0.25">
      <c r="A276" s="2">
        <v>107258</v>
      </c>
      <c r="B276" s="1" t="s">
        <v>987</v>
      </c>
      <c r="C276" s="1" t="s">
        <v>520</v>
      </c>
      <c r="D276" s="1" t="s">
        <v>988</v>
      </c>
      <c r="E276" s="1" t="s">
        <v>33</v>
      </c>
      <c r="F276" s="1" t="s">
        <v>989</v>
      </c>
      <c r="G276" s="1">
        <v>4</v>
      </c>
      <c r="H276" s="1" t="s">
        <v>29</v>
      </c>
      <c r="I276" s="1">
        <v>0</v>
      </c>
      <c r="J276" s="1" t="s">
        <v>23</v>
      </c>
      <c r="K276" s="1">
        <v>87036</v>
      </c>
      <c r="L276" s="1" t="s">
        <v>40</v>
      </c>
      <c r="M276" s="3" t="s">
        <v>41</v>
      </c>
    </row>
    <row r="277" spans="1:13" x14ac:dyDescent="0.25">
      <c r="A277" s="2">
        <v>10165</v>
      </c>
      <c r="B277" s="1" t="s">
        <v>990</v>
      </c>
      <c r="C277" s="1" t="s">
        <v>991</v>
      </c>
      <c r="D277" s="1" t="s">
        <v>992</v>
      </c>
      <c r="E277" s="1" t="s">
        <v>13</v>
      </c>
      <c r="F277" s="1" t="s">
        <v>993</v>
      </c>
      <c r="G277" s="1">
        <v>5</v>
      </c>
      <c r="H277" s="1" t="s">
        <v>15</v>
      </c>
      <c r="I277" s="1">
        <v>0</v>
      </c>
      <c r="J277" s="1" t="s">
        <v>23</v>
      </c>
      <c r="K277" s="1">
        <v>43991</v>
      </c>
      <c r="L277" s="1" t="s">
        <v>108</v>
      </c>
      <c r="M277" s="3" t="s">
        <v>102</v>
      </c>
    </row>
    <row r="278" spans="1:13" x14ac:dyDescent="0.25">
      <c r="A278" s="2">
        <v>209527</v>
      </c>
      <c r="B278" s="1" t="s">
        <v>994</v>
      </c>
      <c r="C278" s="1" t="s">
        <v>995</v>
      </c>
      <c r="D278" s="1" t="s">
        <v>996</v>
      </c>
      <c r="E278" s="1" t="s">
        <v>13</v>
      </c>
      <c r="F278" s="1" t="s">
        <v>997</v>
      </c>
      <c r="G278" s="1">
        <v>1</v>
      </c>
      <c r="H278" s="1" t="s">
        <v>29</v>
      </c>
      <c r="I278" s="1">
        <v>0</v>
      </c>
      <c r="J278" s="1" t="s">
        <v>23</v>
      </c>
      <c r="K278" s="1">
        <v>40000</v>
      </c>
      <c r="L278" s="1" t="s">
        <v>89</v>
      </c>
      <c r="M278" s="3" t="s">
        <v>41</v>
      </c>
    </row>
    <row r="279" spans="1:13" x14ac:dyDescent="0.25">
      <c r="A279" s="2">
        <v>10166</v>
      </c>
      <c r="B279" s="1" t="s">
        <v>998</v>
      </c>
      <c r="C279" s="1" t="s">
        <v>999</v>
      </c>
      <c r="D279" s="1" t="s">
        <v>1000</v>
      </c>
      <c r="E279" s="1" t="s">
        <v>33</v>
      </c>
      <c r="F279" s="1" t="s">
        <v>1001</v>
      </c>
      <c r="G279" s="1">
        <v>9</v>
      </c>
      <c r="H279" s="1" t="s">
        <v>35</v>
      </c>
      <c r="I279" s="1">
        <v>0</v>
      </c>
      <c r="J279" s="1" t="s">
        <v>23</v>
      </c>
      <c r="K279" s="1">
        <v>51586</v>
      </c>
      <c r="L279" s="1" t="s">
        <v>17</v>
      </c>
      <c r="M279" s="3" t="s">
        <v>55</v>
      </c>
    </row>
    <row r="280" spans="1:13" x14ac:dyDescent="0.25">
      <c r="A280" s="2">
        <v>10167</v>
      </c>
      <c r="B280" s="1" t="s">
        <v>1002</v>
      </c>
      <c r="C280" s="1" t="s">
        <v>77</v>
      </c>
      <c r="D280" s="1" t="s">
        <v>1003</v>
      </c>
      <c r="E280" s="1" t="s">
        <v>13</v>
      </c>
      <c r="F280" s="1" t="s">
        <v>1004</v>
      </c>
      <c r="G280" s="1">
        <v>5</v>
      </c>
      <c r="H280" s="1" t="s">
        <v>138</v>
      </c>
      <c r="I280" s="1">
        <v>0</v>
      </c>
      <c r="J280" s="1" t="s">
        <v>23</v>
      </c>
      <c r="K280" s="1">
        <v>56990</v>
      </c>
      <c r="L280" s="1" t="s">
        <v>24</v>
      </c>
      <c r="M280" s="3" t="s">
        <v>18</v>
      </c>
    </row>
    <row r="281" spans="1:13" x14ac:dyDescent="0.25">
      <c r="A281" s="2">
        <v>207774</v>
      </c>
      <c r="B281" s="1" t="s">
        <v>1005</v>
      </c>
      <c r="C281" s="1" t="s">
        <v>1006</v>
      </c>
      <c r="D281" s="1" t="s">
        <v>1007</v>
      </c>
      <c r="E281" s="1" t="s">
        <v>13</v>
      </c>
      <c r="F281" s="1" t="s">
        <v>1008</v>
      </c>
      <c r="G281" s="1">
        <v>2</v>
      </c>
      <c r="H281" s="1" t="s">
        <v>35</v>
      </c>
      <c r="I281" s="1">
        <v>0</v>
      </c>
      <c r="J281" s="1" t="s">
        <v>23</v>
      </c>
      <c r="K281" s="1">
        <v>53722</v>
      </c>
      <c r="L281" s="1" t="s">
        <v>46</v>
      </c>
      <c r="M281" s="3" t="s">
        <v>41</v>
      </c>
    </row>
    <row r="282" spans="1:13" x14ac:dyDescent="0.25">
      <c r="A282" s="2">
        <v>10168</v>
      </c>
      <c r="B282" s="1" t="s">
        <v>1009</v>
      </c>
      <c r="C282" s="1" t="s">
        <v>1010</v>
      </c>
      <c r="D282" s="1" t="s">
        <v>1011</v>
      </c>
      <c r="E282" s="1" t="s">
        <v>13</v>
      </c>
      <c r="F282" s="1" t="s">
        <v>1012</v>
      </c>
      <c r="G282" s="1">
        <v>1</v>
      </c>
      <c r="H282" s="1" t="s">
        <v>15</v>
      </c>
      <c r="I282" s="1">
        <v>0</v>
      </c>
      <c r="J282" s="1" t="s">
        <v>23</v>
      </c>
      <c r="K282" s="1">
        <v>51818</v>
      </c>
      <c r="L282" s="1" t="s">
        <v>61</v>
      </c>
      <c r="M282" s="3" t="s">
        <v>41</v>
      </c>
    </row>
    <row r="283" spans="1:13" x14ac:dyDescent="0.25">
      <c r="A283" s="2">
        <v>10169</v>
      </c>
      <c r="B283" s="1" t="s">
        <v>1013</v>
      </c>
      <c r="C283" s="1" t="s">
        <v>1014</v>
      </c>
      <c r="D283" s="1" t="s">
        <v>1015</v>
      </c>
      <c r="E283" s="1" t="s">
        <v>33</v>
      </c>
      <c r="F283" s="1" t="s">
        <v>1016</v>
      </c>
      <c r="G283" s="1">
        <v>6</v>
      </c>
      <c r="H283" s="1" t="s">
        <v>15</v>
      </c>
      <c r="I283" s="1">
        <v>0</v>
      </c>
      <c r="J283" s="1" t="s">
        <v>23</v>
      </c>
      <c r="K283" s="1">
        <v>70303</v>
      </c>
      <c r="L283" s="1" t="s">
        <v>17</v>
      </c>
      <c r="M283" s="3" t="s">
        <v>55</v>
      </c>
    </row>
    <row r="284" spans="1:13" x14ac:dyDescent="0.25">
      <c r="A284" s="2">
        <v>11980</v>
      </c>
      <c r="B284" s="1" t="s">
        <v>1017</v>
      </c>
      <c r="C284" s="1" t="s">
        <v>1018</v>
      </c>
      <c r="D284" s="1" t="s">
        <v>1019</v>
      </c>
      <c r="E284" s="1" t="s">
        <v>13</v>
      </c>
      <c r="F284" s="1" t="s">
        <v>1020</v>
      </c>
      <c r="G284" s="1">
        <v>10</v>
      </c>
      <c r="H284" s="1" t="s">
        <v>35</v>
      </c>
      <c r="I284" s="1">
        <v>0</v>
      </c>
      <c r="J284" s="1" t="s">
        <v>23</v>
      </c>
      <c r="K284" s="1">
        <v>58241</v>
      </c>
      <c r="L284" s="1" t="s">
        <v>40</v>
      </c>
      <c r="M284" s="3" t="s">
        <v>41</v>
      </c>
    </row>
    <row r="285" spans="1:13" x14ac:dyDescent="0.25">
      <c r="A285" s="2">
        <v>10170</v>
      </c>
      <c r="B285" s="1" t="s">
        <v>1021</v>
      </c>
      <c r="C285" s="1" t="s">
        <v>1022</v>
      </c>
      <c r="D285" s="1" t="s">
        <v>1023</v>
      </c>
      <c r="E285" s="1" t="s">
        <v>33</v>
      </c>
      <c r="F285" s="1" t="s">
        <v>1024</v>
      </c>
      <c r="G285" s="1">
        <v>6</v>
      </c>
      <c r="H285" s="1" t="s">
        <v>15</v>
      </c>
      <c r="I285" s="1">
        <v>0</v>
      </c>
      <c r="J285" s="1" t="s">
        <v>23</v>
      </c>
      <c r="K285" s="1">
        <v>47183</v>
      </c>
      <c r="L285" s="1" t="s">
        <v>24</v>
      </c>
      <c r="M285" s="3" t="s">
        <v>55</v>
      </c>
    </row>
    <row r="286" spans="1:13" x14ac:dyDescent="0.25">
      <c r="A286" s="2">
        <v>10171</v>
      </c>
      <c r="B286" s="1" t="s">
        <v>1025</v>
      </c>
      <c r="C286" s="1" t="s">
        <v>1026</v>
      </c>
      <c r="D286" s="1" t="s">
        <v>1007</v>
      </c>
      <c r="E286" s="1" t="s">
        <v>13</v>
      </c>
      <c r="F286" s="1" t="s">
        <v>1027</v>
      </c>
      <c r="G286" s="1">
        <v>2</v>
      </c>
      <c r="H286" s="1" t="s">
        <v>35</v>
      </c>
      <c r="I286" s="1">
        <v>0</v>
      </c>
      <c r="J286" s="1" t="s">
        <v>23</v>
      </c>
      <c r="K286" s="1">
        <v>41311</v>
      </c>
      <c r="L286" s="1" t="s">
        <v>24</v>
      </c>
      <c r="M286" s="3" t="s">
        <v>156</v>
      </c>
    </row>
    <row r="287" spans="1:13" x14ac:dyDescent="0.25">
      <c r="A287" s="2">
        <v>270258</v>
      </c>
      <c r="B287" s="1" t="s">
        <v>1028</v>
      </c>
      <c r="C287" s="1" t="s">
        <v>1029</v>
      </c>
      <c r="D287" s="1" t="s">
        <v>1030</v>
      </c>
      <c r="E287" s="1" t="s">
        <v>13</v>
      </c>
      <c r="F287" s="1" t="s">
        <v>1031</v>
      </c>
      <c r="G287" s="1">
        <v>4</v>
      </c>
      <c r="H287" s="1" t="s">
        <v>35</v>
      </c>
      <c r="I287" s="1">
        <v>0</v>
      </c>
      <c r="J287" s="1" t="s">
        <v>23</v>
      </c>
      <c r="K287" s="1">
        <v>40000</v>
      </c>
      <c r="L287" s="1" t="s">
        <v>24</v>
      </c>
      <c r="M287" s="3" t="s">
        <v>18</v>
      </c>
    </row>
    <row r="288" spans="1:13" x14ac:dyDescent="0.25">
      <c r="A288" s="2">
        <v>10172</v>
      </c>
      <c r="B288" s="1" t="s">
        <v>1032</v>
      </c>
      <c r="C288" s="1" t="s">
        <v>512</v>
      </c>
      <c r="D288" s="1" t="s">
        <v>1033</v>
      </c>
      <c r="E288" s="1" t="s">
        <v>33</v>
      </c>
      <c r="F288" s="1" t="s">
        <v>1034</v>
      </c>
      <c r="G288" s="1">
        <v>9</v>
      </c>
      <c r="H288" s="1" t="s">
        <v>15</v>
      </c>
      <c r="I288" s="1">
        <v>0</v>
      </c>
      <c r="J288" s="1" t="s">
        <v>23</v>
      </c>
      <c r="K288" s="1">
        <v>41197</v>
      </c>
      <c r="L288" s="1" t="s">
        <v>17</v>
      </c>
      <c r="M288" s="3" t="s">
        <v>55</v>
      </c>
    </row>
    <row r="289" spans="1:13" x14ac:dyDescent="0.25">
      <c r="A289" s="2">
        <v>10172</v>
      </c>
      <c r="B289" s="1" t="s">
        <v>1032</v>
      </c>
      <c r="C289" s="1" t="s">
        <v>512</v>
      </c>
      <c r="D289" s="1" t="s">
        <v>1033</v>
      </c>
      <c r="E289" s="1" t="s">
        <v>33</v>
      </c>
      <c r="F289" s="1" t="s">
        <v>1034</v>
      </c>
      <c r="G289" s="1">
        <v>9</v>
      </c>
      <c r="H289" s="1" t="s">
        <v>15</v>
      </c>
      <c r="I289" s="1">
        <v>0</v>
      </c>
      <c r="J289" s="1" t="s">
        <v>23</v>
      </c>
      <c r="K289" s="1">
        <v>41197</v>
      </c>
      <c r="L289" s="1" t="s">
        <v>61</v>
      </c>
      <c r="M289" s="3" t="s">
        <v>55</v>
      </c>
    </row>
    <row r="290" spans="1:13" x14ac:dyDescent="0.25">
      <c r="A290" s="2">
        <v>10173</v>
      </c>
      <c r="B290" s="1" t="s">
        <v>1035</v>
      </c>
      <c r="C290" s="1" t="s">
        <v>1036</v>
      </c>
      <c r="D290" s="1" t="s">
        <v>1037</v>
      </c>
      <c r="E290" s="1" t="s">
        <v>13</v>
      </c>
      <c r="F290" s="1" t="s">
        <v>54</v>
      </c>
      <c r="G290" s="1">
        <v>8</v>
      </c>
      <c r="H290" s="1" t="s">
        <v>138</v>
      </c>
      <c r="I290" s="1">
        <v>0</v>
      </c>
      <c r="J290" s="1" t="s">
        <v>23</v>
      </c>
      <c r="K290" s="1">
        <v>85757</v>
      </c>
      <c r="L290" s="1" t="s">
        <v>108</v>
      </c>
      <c r="M290" s="3" t="s">
        <v>41</v>
      </c>
    </row>
    <row r="291" spans="1:13" x14ac:dyDescent="0.25">
      <c r="A291" s="2">
        <v>10174</v>
      </c>
      <c r="B291" s="1" t="s">
        <v>1038</v>
      </c>
      <c r="C291" s="1" t="s">
        <v>1039</v>
      </c>
      <c r="D291" s="1" t="s">
        <v>1040</v>
      </c>
      <c r="E291" s="1" t="s">
        <v>13</v>
      </c>
      <c r="F291" s="1" t="s">
        <v>1041</v>
      </c>
      <c r="G291" s="1">
        <v>6</v>
      </c>
      <c r="H291" s="1" t="s">
        <v>35</v>
      </c>
      <c r="I291" s="1">
        <v>0</v>
      </c>
      <c r="J291" s="1" t="s">
        <v>23</v>
      </c>
      <c r="K291" s="1">
        <v>59520</v>
      </c>
      <c r="L291" s="1" t="s">
        <v>24</v>
      </c>
      <c r="M291" s="3" t="s">
        <v>18</v>
      </c>
    </row>
    <row r="292" spans="1:13" x14ac:dyDescent="0.25">
      <c r="A292" s="2">
        <v>457800</v>
      </c>
      <c r="B292" s="1" t="s">
        <v>1042</v>
      </c>
      <c r="C292" s="1" t="s">
        <v>1043</v>
      </c>
      <c r="D292" s="1" t="s">
        <v>1044</v>
      </c>
      <c r="E292" s="1" t="s">
        <v>13</v>
      </c>
      <c r="F292" s="1" t="s">
        <v>765</v>
      </c>
      <c r="G292" s="1">
        <v>8</v>
      </c>
      <c r="H292" s="1" t="s">
        <v>35</v>
      </c>
      <c r="I292" s="1">
        <v>0</v>
      </c>
      <c r="J292" s="1" t="s">
        <v>23</v>
      </c>
      <c r="K292" s="1">
        <v>64014</v>
      </c>
      <c r="L292" s="1" t="s">
        <v>108</v>
      </c>
      <c r="M292" s="3" t="s">
        <v>41</v>
      </c>
    </row>
    <row r="293" spans="1:13" x14ac:dyDescent="0.25">
      <c r="A293" s="2">
        <v>457800</v>
      </c>
      <c r="B293" s="1" t="s">
        <v>1042</v>
      </c>
      <c r="C293" s="1" t="s">
        <v>1043</v>
      </c>
      <c r="D293" s="1" t="s">
        <v>1044</v>
      </c>
      <c r="E293" s="1" t="s">
        <v>13</v>
      </c>
      <c r="F293" s="1" t="s">
        <v>765</v>
      </c>
      <c r="G293" s="1">
        <v>8</v>
      </c>
      <c r="H293" s="1" t="s">
        <v>35</v>
      </c>
      <c r="I293" s="1">
        <v>0</v>
      </c>
      <c r="J293" s="1" t="s">
        <v>23</v>
      </c>
      <c r="K293" s="1">
        <v>64014</v>
      </c>
      <c r="L293" s="1" t="s">
        <v>40</v>
      </c>
      <c r="M293" s="3" t="s">
        <v>41</v>
      </c>
    </row>
    <row r="294" spans="1:13" x14ac:dyDescent="0.25">
      <c r="A294" s="2">
        <v>10175</v>
      </c>
      <c r="B294" s="1" t="s">
        <v>1045</v>
      </c>
      <c r="C294" s="1" t="s">
        <v>1046</v>
      </c>
      <c r="D294" s="1" t="s">
        <v>1047</v>
      </c>
      <c r="E294" s="1" t="s">
        <v>33</v>
      </c>
      <c r="F294" s="1" t="s">
        <v>1048</v>
      </c>
      <c r="G294" s="1">
        <v>7</v>
      </c>
      <c r="H294" s="1" t="s">
        <v>29</v>
      </c>
      <c r="I294" s="1">
        <v>0</v>
      </c>
      <c r="J294" s="1" t="s">
        <v>23</v>
      </c>
      <c r="K294" s="1">
        <v>72285</v>
      </c>
      <c r="L294" s="1" t="s">
        <v>125</v>
      </c>
      <c r="M294" s="3" t="s">
        <v>41</v>
      </c>
    </row>
    <row r="295" spans="1:13" x14ac:dyDescent="0.25">
      <c r="A295" s="2">
        <v>10176</v>
      </c>
      <c r="B295" s="1" t="s">
        <v>1049</v>
      </c>
      <c r="C295" s="1" t="s">
        <v>363</v>
      </c>
      <c r="D295" s="1" t="s">
        <v>273</v>
      </c>
      <c r="E295" s="1" t="s">
        <v>33</v>
      </c>
      <c r="F295" s="1" t="s">
        <v>1050</v>
      </c>
      <c r="G295" s="1">
        <v>4</v>
      </c>
      <c r="H295" s="1" t="s">
        <v>35</v>
      </c>
      <c r="I295" s="1">
        <v>0</v>
      </c>
      <c r="J295" s="1" t="s">
        <v>23</v>
      </c>
      <c r="K295" s="1">
        <v>54635</v>
      </c>
      <c r="L295" s="1" t="s">
        <v>89</v>
      </c>
      <c r="M295" s="3" t="s">
        <v>41</v>
      </c>
    </row>
    <row r="296" spans="1:13" x14ac:dyDescent="0.25">
      <c r="A296" s="2">
        <v>446142</v>
      </c>
      <c r="B296" s="1" t="s">
        <v>1051</v>
      </c>
      <c r="C296" s="1" t="s">
        <v>1052</v>
      </c>
      <c r="D296" s="1" t="s">
        <v>1053</v>
      </c>
      <c r="E296" s="1" t="s">
        <v>33</v>
      </c>
      <c r="F296" s="1" t="s">
        <v>1054</v>
      </c>
      <c r="G296" s="1">
        <v>6</v>
      </c>
      <c r="H296" s="1" t="s">
        <v>29</v>
      </c>
      <c r="I296" s="1">
        <v>0</v>
      </c>
      <c r="J296" s="1" t="s">
        <v>23</v>
      </c>
      <c r="K296" s="1">
        <v>40000</v>
      </c>
      <c r="L296" s="1" t="s">
        <v>71</v>
      </c>
      <c r="M296" s="3" t="s">
        <v>18</v>
      </c>
    </row>
    <row r="297" spans="1:13" x14ac:dyDescent="0.25">
      <c r="A297" s="2">
        <v>10177</v>
      </c>
      <c r="B297" s="1" t="s">
        <v>1055</v>
      </c>
      <c r="C297" s="1" t="s">
        <v>1056</v>
      </c>
      <c r="D297" s="1" t="s">
        <v>1057</v>
      </c>
      <c r="E297" s="1" t="s">
        <v>13</v>
      </c>
      <c r="F297" s="1" t="s">
        <v>1058</v>
      </c>
      <c r="G297" s="1">
        <v>10</v>
      </c>
      <c r="H297" s="1" t="s">
        <v>138</v>
      </c>
      <c r="I297" s="1">
        <v>0</v>
      </c>
      <c r="J297" s="1" t="s">
        <v>23</v>
      </c>
      <c r="K297" s="1">
        <v>48041</v>
      </c>
      <c r="L297" s="1" t="s">
        <v>108</v>
      </c>
      <c r="M297" s="3" t="s">
        <v>41</v>
      </c>
    </row>
    <row r="298" spans="1:13" x14ac:dyDescent="0.25">
      <c r="A298" s="2">
        <v>10178</v>
      </c>
      <c r="B298" s="1" t="s">
        <v>1059</v>
      </c>
      <c r="C298" s="1" t="s">
        <v>1060</v>
      </c>
      <c r="D298" s="1" t="s">
        <v>1061</v>
      </c>
      <c r="E298" s="1" t="s">
        <v>13</v>
      </c>
      <c r="F298" s="1" t="s">
        <v>1062</v>
      </c>
      <c r="G298" s="1">
        <v>9</v>
      </c>
      <c r="H298" s="1" t="s">
        <v>15</v>
      </c>
      <c r="I298" s="1">
        <v>0</v>
      </c>
      <c r="J298" s="1" t="s">
        <v>23</v>
      </c>
      <c r="K298" s="1">
        <v>50568</v>
      </c>
      <c r="L298" s="1" t="s">
        <v>40</v>
      </c>
      <c r="M298" s="3" t="s">
        <v>41</v>
      </c>
    </row>
    <row r="299" spans="1:13" x14ac:dyDescent="0.25">
      <c r="A299" s="2">
        <v>201769</v>
      </c>
      <c r="B299" s="1" t="s">
        <v>1063</v>
      </c>
      <c r="C299" s="1" t="s">
        <v>1064</v>
      </c>
      <c r="D299" s="1" t="s">
        <v>1065</v>
      </c>
      <c r="E299" s="1" t="s">
        <v>13</v>
      </c>
      <c r="F299" s="1" t="s">
        <v>1066</v>
      </c>
      <c r="G299" s="1">
        <v>10</v>
      </c>
      <c r="H299" s="1" t="s">
        <v>29</v>
      </c>
      <c r="I299" s="1">
        <v>0</v>
      </c>
      <c r="J299" s="1" t="s">
        <v>23</v>
      </c>
      <c r="K299" s="1">
        <v>48427</v>
      </c>
      <c r="L299" s="1" t="s">
        <v>24</v>
      </c>
      <c r="M299" s="3" t="s">
        <v>156</v>
      </c>
    </row>
    <row r="300" spans="1:13" x14ac:dyDescent="0.25">
      <c r="A300" s="2">
        <v>10179</v>
      </c>
      <c r="B300" s="1" t="s">
        <v>1067</v>
      </c>
      <c r="C300" s="1" t="s">
        <v>1068</v>
      </c>
      <c r="D300" s="1" t="s">
        <v>1069</v>
      </c>
      <c r="E300" s="1" t="s">
        <v>33</v>
      </c>
      <c r="F300" s="1" t="s">
        <v>1070</v>
      </c>
      <c r="G300" s="1">
        <v>5</v>
      </c>
      <c r="H300" s="1" t="s">
        <v>35</v>
      </c>
      <c r="I300" s="1">
        <v>0</v>
      </c>
      <c r="J300" s="1" t="s">
        <v>23</v>
      </c>
      <c r="K300" s="1">
        <v>40000</v>
      </c>
      <c r="L300" s="1" t="s">
        <v>17</v>
      </c>
      <c r="M300" s="3" t="s">
        <v>55</v>
      </c>
    </row>
    <row r="301" spans="1:13" x14ac:dyDescent="0.25">
      <c r="A301" s="2">
        <v>10180</v>
      </c>
      <c r="B301" s="1" t="s">
        <v>1071</v>
      </c>
      <c r="C301" s="1" t="s">
        <v>1072</v>
      </c>
      <c r="D301" s="1" t="s">
        <v>1073</v>
      </c>
      <c r="E301" s="1" t="s">
        <v>13</v>
      </c>
      <c r="F301" s="1" t="s">
        <v>1074</v>
      </c>
      <c r="G301" s="1">
        <v>10</v>
      </c>
      <c r="H301" s="1" t="s">
        <v>29</v>
      </c>
      <c r="I301" s="1">
        <v>0</v>
      </c>
      <c r="J301" s="1" t="s">
        <v>23</v>
      </c>
      <c r="K301" s="1">
        <v>52444</v>
      </c>
      <c r="L301" s="1" t="s">
        <v>108</v>
      </c>
      <c r="M301" s="3" t="s">
        <v>41</v>
      </c>
    </row>
    <row r="302" spans="1:13" x14ac:dyDescent="0.25">
      <c r="A302" s="2">
        <v>56049</v>
      </c>
      <c r="B302" s="1" t="s">
        <v>1075</v>
      </c>
      <c r="C302" s="1" t="s">
        <v>1076</v>
      </c>
      <c r="D302" s="1" t="s">
        <v>1077</v>
      </c>
      <c r="E302" s="1" t="s">
        <v>33</v>
      </c>
      <c r="F302" s="1" t="s">
        <v>1078</v>
      </c>
      <c r="G302" s="1">
        <v>5</v>
      </c>
      <c r="H302" s="1" t="s">
        <v>35</v>
      </c>
      <c r="I302" s="1">
        <v>0</v>
      </c>
      <c r="J302" s="1" t="s">
        <v>23</v>
      </c>
      <c r="K302" s="1">
        <v>76782</v>
      </c>
      <c r="L302" s="1" t="s">
        <v>125</v>
      </c>
      <c r="M302" s="3" t="s">
        <v>41</v>
      </c>
    </row>
    <row r="303" spans="1:13" x14ac:dyDescent="0.25">
      <c r="A303" s="2">
        <v>56049</v>
      </c>
      <c r="B303" s="1" t="s">
        <v>1075</v>
      </c>
      <c r="C303" s="1" t="s">
        <v>1076</v>
      </c>
      <c r="D303" s="1" t="s">
        <v>1077</v>
      </c>
      <c r="E303" s="1" t="s">
        <v>33</v>
      </c>
      <c r="F303" s="1" t="s">
        <v>1078</v>
      </c>
      <c r="G303" s="1">
        <v>5</v>
      </c>
      <c r="H303" s="1" t="s">
        <v>35</v>
      </c>
      <c r="I303" s="1">
        <v>0</v>
      </c>
      <c r="J303" s="1" t="s">
        <v>23</v>
      </c>
      <c r="K303" s="1">
        <v>76782</v>
      </c>
      <c r="L303" s="1" t="s">
        <v>89</v>
      </c>
      <c r="M303" s="3" t="s">
        <v>41</v>
      </c>
    </row>
    <row r="304" spans="1:13" x14ac:dyDescent="0.25">
      <c r="A304" s="2">
        <v>10181</v>
      </c>
      <c r="B304" s="1" t="s">
        <v>1079</v>
      </c>
      <c r="C304" s="1" t="s">
        <v>1080</v>
      </c>
      <c r="D304" s="1" t="s">
        <v>115</v>
      </c>
      <c r="E304" s="1" t="s">
        <v>13</v>
      </c>
      <c r="F304" s="1" t="s">
        <v>1081</v>
      </c>
      <c r="G304" s="1">
        <v>7</v>
      </c>
      <c r="H304" s="1" t="s">
        <v>35</v>
      </c>
      <c r="I304" s="1">
        <v>0</v>
      </c>
      <c r="J304" s="1" t="s">
        <v>23</v>
      </c>
      <c r="K304" s="1">
        <v>40000</v>
      </c>
      <c r="L304" s="1" t="s">
        <v>17</v>
      </c>
      <c r="M304" s="3" t="s">
        <v>18</v>
      </c>
    </row>
    <row r="305" spans="1:13" x14ac:dyDescent="0.25">
      <c r="A305" s="2">
        <v>10182</v>
      </c>
      <c r="B305" s="1" t="s">
        <v>1082</v>
      </c>
      <c r="C305" s="1" t="s">
        <v>1083</v>
      </c>
      <c r="D305" s="1" t="s">
        <v>1084</v>
      </c>
      <c r="E305" s="1" t="s">
        <v>33</v>
      </c>
      <c r="F305" s="1" t="s">
        <v>1085</v>
      </c>
      <c r="G305" s="1">
        <v>5</v>
      </c>
      <c r="H305" s="1" t="s">
        <v>138</v>
      </c>
      <c r="I305" s="1">
        <v>0</v>
      </c>
      <c r="J305" s="1" t="s">
        <v>23</v>
      </c>
      <c r="K305" s="1">
        <v>40380</v>
      </c>
      <c r="L305" s="1" t="s">
        <v>17</v>
      </c>
      <c r="M305" s="3" t="s">
        <v>18</v>
      </c>
    </row>
    <row r="306" spans="1:13" x14ac:dyDescent="0.25">
      <c r="A306" s="2">
        <v>10182</v>
      </c>
      <c r="B306" s="1" t="s">
        <v>1082</v>
      </c>
      <c r="C306" s="1" t="s">
        <v>1083</v>
      </c>
      <c r="D306" s="1" t="s">
        <v>1084</v>
      </c>
      <c r="E306" s="1" t="s">
        <v>33</v>
      </c>
      <c r="F306" s="1" t="s">
        <v>1085</v>
      </c>
      <c r="G306" s="1">
        <v>5</v>
      </c>
      <c r="H306" s="1" t="s">
        <v>138</v>
      </c>
      <c r="I306" s="1">
        <v>0</v>
      </c>
      <c r="J306" s="1" t="s">
        <v>23</v>
      </c>
      <c r="K306" s="1">
        <v>40380</v>
      </c>
      <c r="L306" s="1" t="s">
        <v>61</v>
      </c>
      <c r="M306" s="3" t="s">
        <v>18</v>
      </c>
    </row>
    <row r="307" spans="1:13" x14ac:dyDescent="0.25">
      <c r="A307" s="2">
        <v>414537</v>
      </c>
      <c r="B307" s="1" t="s">
        <v>1086</v>
      </c>
      <c r="C307" s="1" t="s">
        <v>708</v>
      </c>
      <c r="D307" s="1" t="s">
        <v>1087</v>
      </c>
      <c r="E307" s="1" t="s">
        <v>13</v>
      </c>
      <c r="F307" s="1" t="s">
        <v>1088</v>
      </c>
      <c r="G307" s="1">
        <v>10</v>
      </c>
      <c r="H307" s="1" t="s">
        <v>35</v>
      </c>
      <c r="I307" s="1">
        <v>0</v>
      </c>
      <c r="J307" s="1" t="s">
        <v>23</v>
      </c>
      <c r="K307" s="1">
        <v>78474</v>
      </c>
      <c r="L307" s="1" t="s">
        <v>40</v>
      </c>
      <c r="M307" s="3" t="s">
        <v>41</v>
      </c>
    </row>
    <row r="308" spans="1:13" x14ac:dyDescent="0.25">
      <c r="A308" s="2">
        <v>10183</v>
      </c>
      <c r="B308" s="1" t="s">
        <v>1089</v>
      </c>
      <c r="C308" s="1" t="s">
        <v>491</v>
      </c>
      <c r="D308" s="1" t="s">
        <v>1090</v>
      </c>
      <c r="E308" s="1" t="s">
        <v>13</v>
      </c>
      <c r="F308" s="1" t="s">
        <v>1091</v>
      </c>
      <c r="G308" s="1">
        <v>1</v>
      </c>
      <c r="H308" s="1" t="s">
        <v>15</v>
      </c>
      <c r="I308" s="1">
        <v>0</v>
      </c>
      <c r="J308" s="1" t="s">
        <v>23</v>
      </c>
      <c r="K308" s="1">
        <v>40000</v>
      </c>
      <c r="L308" s="1" t="s">
        <v>89</v>
      </c>
      <c r="M308" s="3" t="s">
        <v>41</v>
      </c>
    </row>
    <row r="309" spans="1:13" x14ac:dyDescent="0.25">
      <c r="A309" s="2">
        <v>414885</v>
      </c>
      <c r="B309" s="1" t="s">
        <v>1092</v>
      </c>
      <c r="C309" s="1" t="s">
        <v>1093</v>
      </c>
      <c r="D309" s="1" t="s">
        <v>349</v>
      </c>
      <c r="E309" s="1" t="s">
        <v>13</v>
      </c>
      <c r="F309" s="1" t="s">
        <v>1094</v>
      </c>
      <c r="G309" s="1">
        <v>7</v>
      </c>
      <c r="H309" s="1" t="s">
        <v>29</v>
      </c>
      <c r="I309" s="1">
        <v>0</v>
      </c>
      <c r="J309" s="1" t="s">
        <v>23</v>
      </c>
      <c r="K309" s="1">
        <v>81272</v>
      </c>
      <c r="L309" s="1" t="s">
        <v>40</v>
      </c>
      <c r="M309" s="3" t="s">
        <v>41</v>
      </c>
    </row>
    <row r="310" spans="1:13" x14ac:dyDescent="0.25">
      <c r="A310" s="2">
        <v>10184</v>
      </c>
      <c r="B310" s="1" t="s">
        <v>1095</v>
      </c>
      <c r="C310" s="1" t="s">
        <v>1096</v>
      </c>
      <c r="D310" s="1" t="s">
        <v>1097</v>
      </c>
      <c r="E310" s="1" t="s">
        <v>13</v>
      </c>
      <c r="F310" s="1" t="s">
        <v>294</v>
      </c>
      <c r="G310" s="1">
        <v>10</v>
      </c>
      <c r="H310" s="1" t="s">
        <v>35</v>
      </c>
      <c r="I310" s="1">
        <v>0</v>
      </c>
      <c r="J310" s="1" t="s">
        <v>23</v>
      </c>
      <c r="K310" s="1">
        <v>48586</v>
      </c>
      <c r="L310" s="1" t="s">
        <v>89</v>
      </c>
      <c r="M310" s="3" t="s">
        <v>41</v>
      </c>
    </row>
    <row r="311" spans="1:13" x14ac:dyDescent="0.25">
      <c r="A311" s="2">
        <v>10185</v>
      </c>
      <c r="B311" s="1" t="s">
        <v>1098</v>
      </c>
      <c r="C311" s="1" t="s">
        <v>1099</v>
      </c>
      <c r="D311" s="1" t="s">
        <v>1100</v>
      </c>
      <c r="E311" s="1" t="s">
        <v>33</v>
      </c>
      <c r="F311" s="1" t="s">
        <v>1101</v>
      </c>
      <c r="G311" s="1">
        <v>10</v>
      </c>
      <c r="H311" s="1" t="s">
        <v>15</v>
      </c>
      <c r="I311" s="1">
        <v>0</v>
      </c>
      <c r="J311" s="1" t="s">
        <v>23</v>
      </c>
      <c r="K311" s="1">
        <v>68334</v>
      </c>
      <c r="L311" s="1" t="s">
        <v>40</v>
      </c>
      <c r="M311" s="3" t="s">
        <v>41</v>
      </c>
    </row>
    <row r="312" spans="1:13" x14ac:dyDescent="0.25">
      <c r="A312" s="2">
        <v>10186</v>
      </c>
      <c r="B312" s="1" t="s">
        <v>1102</v>
      </c>
      <c r="C312" s="1" t="s">
        <v>1103</v>
      </c>
      <c r="D312" s="1" t="s">
        <v>1104</v>
      </c>
      <c r="E312" s="1" t="s">
        <v>13</v>
      </c>
      <c r="F312" s="1" t="s">
        <v>1105</v>
      </c>
      <c r="G312" s="1">
        <v>9</v>
      </c>
      <c r="H312" s="1" t="s">
        <v>29</v>
      </c>
      <c r="I312" s="1">
        <v>0</v>
      </c>
      <c r="J312" s="1" t="s">
        <v>23</v>
      </c>
      <c r="K312" s="1">
        <v>40000</v>
      </c>
      <c r="L312" s="1" t="s">
        <v>108</v>
      </c>
      <c r="M312" s="3" t="s">
        <v>41</v>
      </c>
    </row>
    <row r="313" spans="1:13" x14ac:dyDescent="0.25">
      <c r="A313" s="2">
        <v>10187</v>
      </c>
      <c r="B313" s="1" t="s">
        <v>1106</v>
      </c>
      <c r="C313" s="1" t="s">
        <v>1107</v>
      </c>
      <c r="D313" s="1" t="s">
        <v>1108</v>
      </c>
      <c r="E313" s="1" t="s">
        <v>33</v>
      </c>
      <c r="F313" s="1" t="s">
        <v>1109</v>
      </c>
      <c r="G313" s="1">
        <v>3</v>
      </c>
      <c r="H313" s="1" t="s">
        <v>138</v>
      </c>
      <c r="I313" s="1">
        <v>1</v>
      </c>
      <c r="J313" s="1" t="s">
        <v>1110</v>
      </c>
      <c r="K313" s="1">
        <v>71454</v>
      </c>
      <c r="L313" s="1" t="s">
        <v>108</v>
      </c>
      <c r="M313" s="3" t="s">
        <v>41</v>
      </c>
    </row>
    <row r="314" spans="1:13" x14ac:dyDescent="0.25">
      <c r="A314" s="2">
        <v>250218</v>
      </c>
      <c r="B314" s="1" t="s">
        <v>1111</v>
      </c>
      <c r="C314" s="1" t="s">
        <v>1112</v>
      </c>
      <c r="D314" s="1" t="s">
        <v>1113</v>
      </c>
      <c r="E314" s="1" t="s">
        <v>13</v>
      </c>
      <c r="F314" s="1" t="s">
        <v>1114</v>
      </c>
      <c r="G314" s="1">
        <v>8</v>
      </c>
      <c r="H314" s="1" t="s">
        <v>35</v>
      </c>
      <c r="I314" s="1">
        <v>0</v>
      </c>
      <c r="J314" s="1" t="s">
        <v>23</v>
      </c>
      <c r="K314" s="1">
        <v>41127</v>
      </c>
      <c r="L314" s="1" t="s">
        <v>17</v>
      </c>
      <c r="M314" s="3" t="s">
        <v>18</v>
      </c>
    </row>
    <row r="315" spans="1:13" x14ac:dyDescent="0.25">
      <c r="A315" s="2">
        <v>250218</v>
      </c>
      <c r="B315" s="1" t="s">
        <v>1111</v>
      </c>
      <c r="C315" s="1" t="s">
        <v>1112</v>
      </c>
      <c r="D315" s="1" t="s">
        <v>1113</v>
      </c>
      <c r="E315" s="1" t="s">
        <v>13</v>
      </c>
      <c r="F315" s="1" t="s">
        <v>1114</v>
      </c>
      <c r="G315" s="1">
        <v>8</v>
      </c>
      <c r="H315" s="1" t="s">
        <v>35</v>
      </c>
      <c r="I315" s="1">
        <v>0</v>
      </c>
      <c r="J315" s="1" t="s">
        <v>23</v>
      </c>
      <c r="K315" s="1">
        <v>41127</v>
      </c>
      <c r="L315" s="1" t="s">
        <v>61</v>
      </c>
      <c r="M315" s="3" t="s">
        <v>18</v>
      </c>
    </row>
    <row r="316" spans="1:13" x14ac:dyDescent="0.25">
      <c r="A316" s="2">
        <v>10188</v>
      </c>
      <c r="B316" s="1" t="s">
        <v>1115</v>
      </c>
      <c r="C316" s="1" t="s">
        <v>1116</v>
      </c>
      <c r="D316" s="1" t="s">
        <v>1117</v>
      </c>
      <c r="E316" s="1" t="s">
        <v>33</v>
      </c>
      <c r="F316" s="1" t="s">
        <v>1118</v>
      </c>
      <c r="G316" s="1">
        <v>5</v>
      </c>
      <c r="H316" s="1" t="s">
        <v>35</v>
      </c>
      <c r="I316" s="1">
        <v>0</v>
      </c>
      <c r="J316" s="1" t="s">
        <v>23</v>
      </c>
      <c r="K316" s="1">
        <v>62365</v>
      </c>
      <c r="L316" s="1" t="s">
        <v>24</v>
      </c>
      <c r="M316" s="3" t="s">
        <v>18</v>
      </c>
    </row>
    <row r="317" spans="1:13" x14ac:dyDescent="0.25">
      <c r="A317" s="2">
        <v>10189</v>
      </c>
      <c r="B317" s="1" t="s">
        <v>1119</v>
      </c>
      <c r="C317" s="1" t="s">
        <v>1120</v>
      </c>
      <c r="D317" s="1" t="s">
        <v>1121</v>
      </c>
      <c r="E317" s="1" t="s">
        <v>13</v>
      </c>
      <c r="F317" s="1" t="s">
        <v>1122</v>
      </c>
      <c r="G317" s="1">
        <v>6</v>
      </c>
      <c r="H317" s="1" t="s">
        <v>15</v>
      </c>
      <c r="I317" s="1">
        <v>0</v>
      </c>
      <c r="J317" s="1" t="s">
        <v>23</v>
      </c>
      <c r="K317" s="1">
        <v>41222</v>
      </c>
      <c r="L317" s="1" t="s">
        <v>17</v>
      </c>
      <c r="M317" s="3" t="s">
        <v>55</v>
      </c>
    </row>
    <row r="318" spans="1:13" x14ac:dyDescent="0.25">
      <c r="A318" s="2">
        <v>451340</v>
      </c>
      <c r="B318" s="1" t="s">
        <v>1123</v>
      </c>
      <c r="C318" s="1" t="s">
        <v>415</v>
      </c>
      <c r="D318" s="1" t="s">
        <v>727</v>
      </c>
      <c r="E318" s="1" t="s">
        <v>13</v>
      </c>
      <c r="F318" s="1" t="s">
        <v>1124</v>
      </c>
      <c r="G318" s="1">
        <v>1</v>
      </c>
      <c r="H318" s="1" t="s">
        <v>35</v>
      </c>
      <c r="I318" s="1">
        <v>0</v>
      </c>
      <c r="J318" s="1" t="s">
        <v>23</v>
      </c>
      <c r="K318" s="1">
        <v>40000</v>
      </c>
      <c r="L318" s="1" t="s">
        <v>46</v>
      </c>
      <c r="M318" s="3" t="s">
        <v>41</v>
      </c>
    </row>
    <row r="319" spans="1:13" x14ac:dyDescent="0.25">
      <c r="A319" s="2">
        <v>10190</v>
      </c>
      <c r="B319" s="1" t="s">
        <v>1125</v>
      </c>
      <c r="C319" s="1" t="s">
        <v>1126</v>
      </c>
      <c r="D319" s="1" t="s">
        <v>737</v>
      </c>
      <c r="E319" s="1" t="s">
        <v>33</v>
      </c>
      <c r="F319" s="1" t="s">
        <v>1127</v>
      </c>
      <c r="G319" s="1">
        <v>5</v>
      </c>
      <c r="H319" s="1" t="s">
        <v>35</v>
      </c>
      <c r="I319" s="1">
        <v>0</v>
      </c>
      <c r="J319" s="1" t="s">
        <v>23</v>
      </c>
      <c r="K319" s="1">
        <v>40000</v>
      </c>
      <c r="L319" s="1" t="s">
        <v>24</v>
      </c>
      <c r="M319" s="3" t="s">
        <v>18</v>
      </c>
    </row>
    <row r="320" spans="1:13" x14ac:dyDescent="0.25">
      <c r="A320" s="2">
        <v>10191</v>
      </c>
      <c r="B320" s="1" t="s">
        <v>1128</v>
      </c>
      <c r="C320" s="1" t="s">
        <v>1129</v>
      </c>
      <c r="D320" s="1" t="s">
        <v>934</v>
      </c>
      <c r="E320" s="1" t="s">
        <v>13</v>
      </c>
      <c r="F320" s="1" t="s">
        <v>1130</v>
      </c>
      <c r="G320" s="1">
        <v>4</v>
      </c>
      <c r="H320" s="1" t="s">
        <v>35</v>
      </c>
      <c r="I320" s="1">
        <v>0</v>
      </c>
      <c r="J320" s="1" t="s">
        <v>23</v>
      </c>
      <c r="K320" s="1">
        <v>40000</v>
      </c>
      <c r="L320" s="1" t="s">
        <v>17</v>
      </c>
      <c r="M320" s="3" t="s">
        <v>18</v>
      </c>
    </row>
    <row r="321" spans="1:13" x14ac:dyDescent="0.25">
      <c r="A321" s="2">
        <v>413842</v>
      </c>
      <c r="B321" s="1" t="s">
        <v>1131</v>
      </c>
      <c r="C321" s="1" t="s">
        <v>91</v>
      </c>
      <c r="D321" s="1" t="s">
        <v>1132</v>
      </c>
      <c r="E321" s="1" t="s">
        <v>33</v>
      </c>
      <c r="F321" s="1" t="s">
        <v>1133</v>
      </c>
      <c r="G321" s="1">
        <v>3</v>
      </c>
      <c r="H321" s="1" t="s">
        <v>15</v>
      </c>
      <c r="I321" s="1">
        <v>0</v>
      </c>
      <c r="J321" s="1" t="s">
        <v>23</v>
      </c>
      <c r="K321" s="1">
        <v>40000</v>
      </c>
      <c r="L321" s="1" t="s">
        <v>24</v>
      </c>
      <c r="M321" s="3" t="s">
        <v>18</v>
      </c>
    </row>
    <row r="322" spans="1:13" x14ac:dyDescent="0.25">
      <c r="A322" s="2">
        <v>10192</v>
      </c>
      <c r="B322" s="1" t="s">
        <v>1134</v>
      </c>
      <c r="C322" s="1" t="s">
        <v>1135</v>
      </c>
      <c r="D322" s="1" t="s">
        <v>1136</v>
      </c>
      <c r="E322" s="1" t="s">
        <v>13</v>
      </c>
      <c r="F322" s="1" t="s">
        <v>1137</v>
      </c>
      <c r="G322" s="1">
        <v>10</v>
      </c>
      <c r="H322" s="1" t="s">
        <v>29</v>
      </c>
      <c r="I322" s="1">
        <v>0</v>
      </c>
      <c r="J322" s="1" t="s">
        <v>23</v>
      </c>
      <c r="K322" s="1">
        <v>40000</v>
      </c>
      <c r="L322" s="1" t="s">
        <v>24</v>
      </c>
      <c r="M322" s="3" t="s">
        <v>18</v>
      </c>
    </row>
    <row r="323" spans="1:13" x14ac:dyDescent="0.25">
      <c r="A323" s="2">
        <v>10192</v>
      </c>
      <c r="B323" s="1" t="s">
        <v>1134</v>
      </c>
      <c r="C323" s="1" t="s">
        <v>1135</v>
      </c>
      <c r="D323" s="1" t="s">
        <v>1136</v>
      </c>
      <c r="E323" s="1" t="s">
        <v>13</v>
      </c>
      <c r="F323" s="1" t="s">
        <v>1137</v>
      </c>
      <c r="G323" s="1">
        <v>10</v>
      </c>
      <c r="H323" s="1" t="s">
        <v>29</v>
      </c>
      <c r="I323" s="1">
        <v>0</v>
      </c>
      <c r="J323" s="1" t="s">
        <v>23</v>
      </c>
      <c r="K323" s="1">
        <v>40000</v>
      </c>
      <c r="L323" s="1" t="s">
        <v>71</v>
      </c>
      <c r="M323" s="3" t="s">
        <v>18</v>
      </c>
    </row>
    <row r="324" spans="1:13" x14ac:dyDescent="0.25">
      <c r="A324" s="2">
        <v>464798</v>
      </c>
      <c r="B324" s="1" t="s">
        <v>1138</v>
      </c>
      <c r="C324" s="1" t="s">
        <v>1139</v>
      </c>
      <c r="D324" s="1" t="s">
        <v>1084</v>
      </c>
      <c r="E324" s="1" t="s">
        <v>13</v>
      </c>
      <c r="F324" s="1" t="s">
        <v>1140</v>
      </c>
      <c r="G324" s="1">
        <v>3</v>
      </c>
      <c r="H324" s="1" t="s">
        <v>29</v>
      </c>
      <c r="I324" s="1">
        <v>0</v>
      </c>
      <c r="J324" s="1" t="s">
        <v>23</v>
      </c>
      <c r="K324" s="1">
        <v>46791</v>
      </c>
      <c r="L324" s="1" t="s">
        <v>24</v>
      </c>
      <c r="M324" s="3" t="s">
        <v>18</v>
      </c>
    </row>
    <row r="325" spans="1:13" x14ac:dyDescent="0.25">
      <c r="A325" s="2">
        <v>10193</v>
      </c>
      <c r="B325" s="1" t="s">
        <v>1141</v>
      </c>
      <c r="C325" s="1" t="s">
        <v>1142</v>
      </c>
      <c r="D325" s="1" t="s">
        <v>1143</v>
      </c>
      <c r="E325" s="1" t="s">
        <v>13</v>
      </c>
      <c r="F325" s="1" t="s">
        <v>1144</v>
      </c>
      <c r="G325" s="1">
        <v>1</v>
      </c>
      <c r="H325" s="1" t="s">
        <v>15</v>
      </c>
      <c r="I325" s="1">
        <v>0</v>
      </c>
      <c r="J325" s="1" t="s">
        <v>23</v>
      </c>
      <c r="K325" s="1">
        <v>48733</v>
      </c>
      <c r="L325" s="1" t="s">
        <v>17</v>
      </c>
      <c r="M325" s="3" t="s">
        <v>55</v>
      </c>
    </row>
    <row r="326" spans="1:13" x14ac:dyDescent="0.25">
      <c r="A326" s="2">
        <v>10194</v>
      </c>
      <c r="B326" s="1" t="s">
        <v>1145</v>
      </c>
      <c r="C326" s="1" t="s">
        <v>1146</v>
      </c>
      <c r="D326" s="1" t="s">
        <v>1147</v>
      </c>
      <c r="E326" s="1" t="s">
        <v>33</v>
      </c>
      <c r="F326" s="1" t="s">
        <v>1148</v>
      </c>
      <c r="G326" s="1">
        <v>3</v>
      </c>
      <c r="H326" s="1" t="s">
        <v>29</v>
      </c>
      <c r="I326" s="1">
        <v>0</v>
      </c>
      <c r="J326" s="1" t="s">
        <v>23</v>
      </c>
      <c r="K326" s="1">
        <v>64941</v>
      </c>
      <c r="L326" s="1" t="s">
        <v>108</v>
      </c>
      <c r="M326" s="3" t="s">
        <v>41</v>
      </c>
    </row>
    <row r="327" spans="1:13" x14ac:dyDescent="0.25">
      <c r="A327" s="2">
        <v>37176</v>
      </c>
      <c r="B327" s="1" t="s">
        <v>1149</v>
      </c>
      <c r="C327" s="1" t="s">
        <v>1150</v>
      </c>
      <c r="D327" s="1" t="s">
        <v>1151</v>
      </c>
      <c r="E327" s="1" t="s">
        <v>13</v>
      </c>
      <c r="F327" s="1" t="s">
        <v>1114</v>
      </c>
      <c r="G327" s="1">
        <v>10</v>
      </c>
      <c r="H327" s="1" t="s">
        <v>15</v>
      </c>
      <c r="I327" s="1">
        <v>0</v>
      </c>
      <c r="J327" s="1" t="s">
        <v>23</v>
      </c>
      <c r="K327" s="1">
        <v>45396</v>
      </c>
      <c r="L327" s="1" t="s">
        <v>24</v>
      </c>
      <c r="M327" s="3" t="s">
        <v>18</v>
      </c>
    </row>
    <row r="328" spans="1:13" x14ac:dyDescent="0.25">
      <c r="A328" s="2">
        <v>10195</v>
      </c>
      <c r="B328" s="1" t="s">
        <v>697</v>
      </c>
      <c r="C328" s="1" t="s">
        <v>1152</v>
      </c>
      <c r="D328" s="1" t="s">
        <v>1153</v>
      </c>
      <c r="E328" s="1" t="s">
        <v>13</v>
      </c>
      <c r="F328" s="1" t="s">
        <v>1154</v>
      </c>
      <c r="G328" s="1">
        <v>4</v>
      </c>
      <c r="H328" s="1" t="s">
        <v>29</v>
      </c>
      <c r="I328" s="1">
        <v>0</v>
      </c>
      <c r="J328" s="1" t="s">
        <v>23</v>
      </c>
      <c r="K328" s="1">
        <v>40000</v>
      </c>
      <c r="L328" s="1" t="s">
        <v>24</v>
      </c>
      <c r="M328" s="3" t="s">
        <v>18</v>
      </c>
    </row>
    <row r="329" spans="1:13" x14ac:dyDescent="0.25">
      <c r="A329" s="2">
        <v>10196</v>
      </c>
      <c r="B329" s="1" t="s">
        <v>1155</v>
      </c>
      <c r="C329" s="1" t="s">
        <v>1156</v>
      </c>
      <c r="D329" s="1" t="s">
        <v>1157</v>
      </c>
      <c r="E329" s="1" t="s">
        <v>13</v>
      </c>
      <c r="F329" s="1" t="s">
        <v>1158</v>
      </c>
      <c r="G329" s="1">
        <v>6</v>
      </c>
      <c r="H329" s="1" t="s">
        <v>35</v>
      </c>
      <c r="I329" s="1">
        <v>0</v>
      </c>
      <c r="J329" s="1" t="s">
        <v>23</v>
      </c>
      <c r="K329" s="1">
        <v>86671</v>
      </c>
      <c r="L329" s="1" t="s">
        <v>108</v>
      </c>
      <c r="M329" s="3" t="s">
        <v>41</v>
      </c>
    </row>
    <row r="330" spans="1:13" x14ac:dyDescent="0.25">
      <c r="A330" s="2">
        <v>109820</v>
      </c>
      <c r="B330" s="1" t="s">
        <v>1159</v>
      </c>
      <c r="C330" s="1" t="s">
        <v>1160</v>
      </c>
      <c r="D330" s="1" t="s">
        <v>1161</v>
      </c>
      <c r="E330" s="1" t="s">
        <v>33</v>
      </c>
      <c r="F330" s="1" t="s">
        <v>1162</v>
      </c>
      <c r="G330" s="1">
        <v>1</v>
      </c>
      <c r="H330" s="1" t="s">
        <v>15</v>
      </c>
      <c r="I330" s="1">
        <v>0</v>
      </c>
      <c r="J330" s="1" t="s">
        <v>23</v>
      </c>
      <c r="K330" s="1">
        <v>40000</v>
      </c>
      <c r="L330" s="1" t="s">
        <v>17</v>
      </c>
      <c r="M330" s="3" t="s">
        <v>66</v>
      </c>
    </row>
    <row r="331" spans="1:13" x14ac:dyDescent="0.25">
      <c r="A331" s="2">
        <v>10197</v>
      </c>
      <c r="B331" s="1" t="s">
        <v>1163</v>
      </c>
      <c r="C331" s="1" t="s">
        <v>1164</v>
      </c>
      <c r="D331" s="1" t="s">
        <v>1165</v>
      </c>
      <c r="E331" s="1" t="s">
        <v>33</v>
      </c>
      <c r="F331" s="1" t="s">
        <v>1166</v>
      </c>
      <c r="G331" s="1">
        <v>2</v>
      </c>
      <c r="H331" s="1" t="s">
        <v>35</v>
      </c>
      <c r="I331" s="1">
        <v>0</v>
      </c>
      <c r="J331" s="1" t="s">
        <v>23</v>
      </c>
      <c r="K331" s="1">
        <v>40000</v>
      </c>
      <c r="L331" s="1" t="s">
        <v>17</v>
      </c>
      <c r="M331" s="3" t="s">
        <v>18</v>
      </c>
    </row>
    <row r="332" spans="1:13" x14ac:dyDescent="0.25">
      <c r="A332" s="2">
        <v>10198</v>
      </c>
      <c r="B332" s="1" t="s">
        <v>1167</v>
      </c>
      <c r="C332" s="1" t="s">
        <v>1168</v>
      </c>
      <c r="D332" s="1" t="s">
        <v>1169</v>
      </c>
      <c r="E332" s="1" t="s">
        <v>13</v>
      </c>
      <c r="F332" s="1" t="s">
        <v>1170</v>
      </c>
      <c r="G332" s="1">
        <v>10</v>
      </c>
      <c r="H332" s="1" t="s">
        <v>29</v>
      </c>
      <c r="I332" s="1">
        <v>0</v>
      </c>
      <c r="J332" s="1" t="s">
        <v>23</v>
      </c>
      <c r="K332" s="1">
        <v>44076</v>
      </c>
      <c r="L332" s="1" t="s">
        <v>17</v>
      </c>
      <c r="M332" s="3" t="s">
        <v>18</v>
      </c>
    </row>
    <row r="333" spans="1:13" x14ac:dyDescent="0.25">
      <c r="A333" s="2">
        <v>246896</v>
      </c>
      <c r="B333" s="1" t="s">
        <v>1171</v>
      </c>
      <c r="C333" s="1" t="s">
        <v>1172</v>
      </c>
      <c r="D333" s="1" t="s">
        <v>1173</v>
      </c>
      <c r="E333" s="1" t="s">
        <v>33</v>
      </c>
      <c r="F333" s="1" t="s">
        <v>1174</v>
      </c>
      <c r="G333" s="1">
        <v>6</v>
      </c>
      <c r="H333" s="1" t="s">
        <v>29</v>
      </c>
      <c r="I333" s="1">
        <v>0</v>
      </c>
      <c r="J333" s="1" t="s">
        <v>23</v>
      </c>
      <c r="K333" s="1">
        <v>60075</v>
      </c>
      <c r="L333" s="1" t="s">
        <v>24</v>
      </c>
      <c r="M333" s="3" t="s">
        <v>55</v>
      </c>
    </row>
    <row r="334" spans="1:13" x14ac:dyDescent="0.25">
      <c r="A334" s="2">
        <v>10199</v>
      </c>
      <c r="B334" s="1" t="s">
        <v>407</v>
      </c>
      <c r="C334" s="1" t="s">
        <v>1175</v>
      </c>
      <c r="D334" s="1" t="s">
        <v>1176</v>
      </c>
      <c r="E334" s="1" t="s">
        <v>13</v>
      </c>
      <c r="F334" s="1" t="s">
        <v>1177</v>
      </c>
      <c r="G334" s="1">
        <v>8</v>
      </c>
      <c r="H334" s="1" t="s">
        <v>15</v>
      </c>
      <c r="I334" s="1">
        <v>0</v>
      </c>
      <c r="J334" s="1" t="s">
        <v>23</v>
      </c>
      <c r="K334" s="1">
        <v>42042</v>
      </c>
      <c r="L334" s="1" t="s">
        <v>40</v>
      </c>
      <c r="M334" s="3" t="s">
        <v>41</v>
      </c>
    </row>
    <row r="335" spans="1:13" x14ac:dyDescent="0.25">
      <c r="A335" s="2">
        <v>10200</v>
      </c>
      <c r="B335" s="1" t="s">
        <v>134</v>
      </c>
      <c r="C335" s="1" t="s">
        <v>1178</v>
      </c>
      <c r="D335" s="1" t="s">
        <v>416</v>
      </c>
      <c r="E335" s="1" t="s">
        <v>13</v>
      </c>
      <c r="F335" s="1" t="s">
        <v>1179</v>
      </c>
      <c r="G335" s="1">
        <v>3</v>
      </c>
      <c r="H335" s="1" t="s">
        <v>35</v>
      </c>
      <c r="I335" s="1">
        <v>0</v>
      </c>
      <c r="J335" s="1" t="s">
        <v>23</v>
      </c>
      <c r="K335" s="1">
        <v>46879</v>
      </c>
      <c r="L335" s="1" t="s">
        <v>24</v>
      </c>
      <c r="M335" s="3" t="s">
        <v>18</v>
      </c>
    </row>
    <row r="336" spans="1:13" x14ac:dyDescent="0.25">
      <c r="A336" s="2">
        <v>10200</v>
      </c>
      <c r="B336" s="1" t="s">
        <v>134</v>
      </c>
      <c r="C336" s="1" t="s">
        <v>1178</v>
      </c>
      <c r="D336" s="1" t="s">
        <v>416</v>
      </c>
      <c r="E336" s="1" t="s">
        <v>13</v>
      </c>
      <c r="F336" s="1" t="s">
        <v>1179</v>
      </c>
      <c r="G336" s="1">
        <v>3</v>
      </c>
      <c r="H336" s="1" t="s">
        <v>35</v>
      </c>
      <c r="I336" s="1">
        <v>0</v>
      </c>
      <c r="J336" s="1" t="s">
        <v>23</v>
      </c>
      <c r="K336" s="1">
        <v>46879</v>
      </c>
      <c r="L336" s="1" t="s">
        <v>71</v>
      </c>
      <c r="M336" s="3" t="s">
        <v>18</v>
      </c>
    </row>
    <row r="337" spans="1:13" x14ac:dyDescent="0.25">
      <c r="A337" s="2">
        <v>10201</v>
      </c>
      <c r="B337" s="1" t="s">
        <v>811</v>
      </c>
      <c r="C337" s="1" t="s">
        <v>1180</v>
      </c>
      <c r="D337" s="1" t="s">
        <v>1181</v>
      </c>
      <c r="E337" s="1" t="s">
        <v>33</v>
      </c>
      <c r="F337" s="1" t="s">
        <v>1182</v>
      </c>
      <c r="G337" s="1">
        <v>1</v>
      </c>
      <c r="H337" s="1" t="s">
        <v>370</v>
      </c>
      <c r="I337" s="1">
        <v>0</v>
      </c>
      <c r="J337" s="1" t="s">
        <v>23</v>
      </c>
      <c r="K337" s="1">
        <v>40000</v>
      </c>
      <c r="L337" s="1" t="s">
        <v>17</v>
      </c>
      <c r="M337" s="3" t="s">
        <v>18</v>
      </c>
    </row>
    <row r="338" spans="1:13" x14ac:dyDescent="0.25">
      <c r="A338" s="2">
        <v>217945</v>
      </c>
      <c r="B338" s="1" t="s">
        <v>1183</v>
      </c>
      <c r="C338" s="1" t="s">
        <v>1184</v>
      </c>
      <c r="D338" s="1" t="s">
        <v>1185</v>
      </c>
      <c r="E338" s="1" t="s">
        <v>13</v>
      </c>
      <c r="F338" s="1" t="s">
        <v>1186</v>
      </c>
      <c r="G338" s="1">
        <v>7</v>
      </c>
      <c r="H338" s="1" t="s">
        <v>138</v>
      </c>
      <c r="I338" s="1">
        <v>0</v>
      </c>
      <c r="J338" s="1" t="s">
        <v>23</v>
      </c>
      <c r="K338" s="1">
        <v>88260</v>
      </c>
      <c r="L338" s="1" t="s">
        <v>40</v>
      </c>
      <c r="M338" s="3" t="s">
        <v>102</v>
      </c>
    </row>
    <row r="339" spans="1:13" x14ac:dyDescent="0.25">
      <c r="A339" s="2">
        <v>10202</v>
      </c>
      <c r="B339" s="1" t="s">
        <v>1187</v>
      </c>
      <c r="C339" s="1" t="s">
        <v>1188</v>
      </c>
      <c r="D339" s="1" t="s">
        <v>912</v>
      </c>
      <c r="E339" s="1" t="s">
        <v>13</v>
      </c>
      <c r="F339" s="1" t="s">
        <v>1189</v>
      </c>
      <c r="G339" s="1">
        <v>5</v>
      </c>
      <c r="H339" s="1" t="s">
        <v>29</v>
      </c>
      <c r="I339" s="1">
        <v>0</v>
      </c>
      <c r="J339" s="1" t="s">
        <v>23</v>
      </c>
      <c r="K339" s="1">
        <v>47338</v>
      </c>
      <c r="L339" s="1" t="s">
        <v>17</v>
      </c>
      <c r="M339" s="3" t="s">
        <v>18</v>
      </c>
    </row>
    <row r="340" spans="1:13" x14ac:dyDescent="0.25">
      <c r="A340" s="2">
        <v>10203</v>
      </c>
      <c r="B340" s="1" t="s">
        <v>1190</v>
      </c>
      <c r="C340" s="1" t="s">
        <v>1191</v>
      </c>
      <c r="D340" s="1" t="s">
        <v>305</v>
      </c>
      <c r="E340" s="1" t="s">
        <v>13</v>
      </c>
      <c r="F340" s="1" t="s">
        <v>1192</v>
      </c>
      <c r="G340" s="1">
        <v>5</v>
      </c>
      <c r="H340" s="1" t="s">
        <v>29</v>
      </c>
      <c r="I340" s="1">
        <v>0</v>
      </c>
      <c r="J340" s="1" t="s">
        <v>23</v>
      </c>
      <c r="K340" s="1">
        <v>40000</v>
      </c>
      <c r="L340" s="1" t="s">
        <v>61</v>
      </c>
      <c r="M340" s="3" t="s">
        <v>41</v>
      </c>
    </row>
    <row r="341" spans="1:13" x14ac:dyDescent="0.25">
      <c r="A341" s="2">
        <v>109600</v>
      </c>
      <c r="B341" s="1" t="s">
        <v>1193</v>
      </c>
      <c r="C341" s="1" t="s">
        <v>1194</v>
      </c>
      <c r="D341" s="1" t="s">
        <v>1195</v>
      </c>
      <c r="E341" s="1" t="s">
        <v>13</v>
      </c>
      <c r="F341" s="1" t="s">
        <v>196</v>
      </c>
      <c r="G341" s="1">
        <v>9</v>
      </c>
      <c r="H341" s="1" t="s">
        <v>29</v>
      </c>
      <c r="I341" s="1">
        <v>0</v>
      </c>
      <c r="J341" s="1" t="s">
        <v>23</v>
      </c>
      <c r="K341" s="1">
        <v>78057</v>
      </c>
      <c r="L341" s="1" t="s">
        <v>40</v>
      </c>
      <c r="M341" s="3" t="s">
        <v>41</v>
      </c>
    </row>
    <row r="342" spans="1:13" x14ac:dyDescent="0.25">
      <c r="A342" s="2">
        <v>10204</v>
      </c>
      <c r="B342" s="1" t="s">
        <v>1196</v>
      </c>
      <c r="C342" s="1" t="s">
        <v>242</v>
      </c>
      <c r="D342" s="1" t="s">
        <v>1197</v>
      </c>
      <c r="E342" s="1" t="s">
        <v>33</v>
      </c>
      <c r="F342" s="1" t="s">
        <v>1198</v>
      </c>
      <c r="G342" s="1">
        <v>7</v>
      </c>
      <c r="H342" s="1" t="s">
        <v>15</v>
      </c>
      <c r="I342" s="1">
        <v>0</v>
      </c>
      <c r="J342" s="1" t="s">
        <v>23</v>
      </c>
      <c r="K342" s="1">
        <v>40000</v>
      </c>
      <c r="L342" s="1" t="s">
        <v>17</v>
      </c>
      <c r="M342" s="3" t="s">
        <v>55</v>
      </c>
    </row>
    <row r="343" spans="1:13" x14ac:dyDescent="0.25">
      <c r="A343" s="2">
        <v>10205</v>
      </c>
      <c r="B343" s="1" t="s">
        <v>899</v>
      </c>
      <c r="C343" s="1" t="s">
        <v>1199</v>
      </c>
      <c r="D343" s="1" t="s">
        <v>1200</v>
      </c>
      <c r="E343" s="1" t="s">
        <v>33</v>
      </c>
      <c r="F343" s="1" t="s">
        <v>1201</v>
      </c>
      <c r="G343" s="1">
        <v>4</v>
      </c>
      <c r="H343" s="1" t="s">
        <v>15</v>
      </c>
      <c r="I343" s="1">
        <v>0</v>
      </c>
      <c r="J343" s="1" t="s">
        <v>23</v>
      </c>
      <c r="K343" s="1">
        <v>40000</v>
      </c>
      <c r="L343" s="1" t="s">
        <v>24</v>
      </c>
      <c r="M343" s="3" t="s">
        <v>18</v>
      </c>
    </row>
    <row r="344" spans="1:13" x14ac:dyDescent="0.25">
      <c r="A344" s="2">
        <v>230858</v>
      </c>
      <c r="B344" s="1" t="s">
        <v>1202</v>
      </c>
      <c r="C344" s="1" t="s">
        <v>1203</v>
      </c>
      <c r="D344" s="1" t="s">
        <v>1204</v>
      </c>
      <c r="E344" s="1" t="s">
        <v>33</v>
      </c>
      <c r="F344" s="1" t="s">
        <v>1205</v>
      </c>
      <c r="G344" s="1">
        <v>4</v>
      </c>
      <c r="H344" s="1" t="s">
        <v>29</v>
      </c>
      <c r="I344" s="1">
        <v>0</v>
      </c>
      <c r="J344" s="1" t="s">
        <v>23</v>
      </c>
      <c r="K344" s="1">
        <v>57381</v>
      </c>
      <c r="L344" s="1" t="s">
        <v>125</v>
      </c>
      <c r="M344" s="3" t="s">
        <v>41</v>
      </c>
    </row>
    <row r="345" spans="1:13" x14ac:dyDescent="0.25">
      <c r="A345" s="2">
        <v>10206</v>
      </c>
      <c r="B345" s="1" t="s">
        <v>283</v>
      </c>
      <c r="C345" s="1" t="s">
        <v>1206</v>
      </c>
      <c r="D345" s="1" t="s">
        <v>1207</v>
      </c>
      <c r="E345" s="1" t="s">
        <v>33</v>
      </c>
      <c r="F345" s="1" t="s">
        <v>1208</v>
      </c>
      <c r="G345" s="1">
        <v>8</v>
      </c>
      <c r="H345" s="1" t="s">
        <v>29</v>
      </c>
      <c r="I345" s="1">
        <v>0</v>
      </c>
      <c r="J345" s="1" t="s">
        <v>23</v>
      </c>
      <c r="K345" s="1">
        <v>40000</v>
      </c>
      <c r="L345" s="1" t="s">
        <v>17</v>
      </c>
      <c r="M345" s="3" t="s">
        <v>156</v>
      </c>
    </row>
    <row r="346" spans="1:13" x14ac:dyDescent="0.25">
      <c r="A346" s="2">
        <v>10207</v>
      </c>
      <c r="B346" s="1" t="s">
        <v>1209</v>
      </c>
      <c r="C346" s="1" t="s">
        <v>1210</v>
      </c>
      <c r="D346" s="1" t="s">
        <v>1211</v>
      </c>
      <c r="E346" s="1" t="s">
        <v>33</v>
      </c>
      <c r="F346" s="1" t="s">
        <v>1212</v>
      </c>
      <c r="G346" s="1">
        <v>8</v>
      </c>
      <c r="H346" s="1" t="s">
        <v>29</v>
      </c>
      <c r="I346" s="1">
        <v>0</v>
      </c>
      <c r="J346" s="1" t="s">
        <v>23</v>
      </c>
      <c r="K346" s="1">
        <v>52783</v>
      </c>
      <c r="L346" s="1" t="s">
        <v>17</v>
      </c>
      <c r="M346" s="3" t="s">
        <v>18</v>
      </c>
    </row>
    <row r="347" spans="1:13" x14ac:dyDescent="0.25">
      <c r="A347" s="2">
        <v>279661</v>
      </c>
      <c r="B347" s="1" t="s">
        <v>1213</v>
      </c>
      <c r="C347" s="1" t="s">
        <v>900</v>
      </c>
      <c r="D347" s="1" t="s">
        <v>1214</v>
      </c>
      <c r="E347" s="1" t="s">
        <v>13</v>
      </c>
      <c r="F347" s="1" t="s">
        <v>1215</v>
      </c>
      <c r="G347" s="1">
        <v>6</v>
      </c>
      <c r="H347" s="1" t="s">
        <v>138</v>
      </c>
      <c r="I347" s="1">
        <v>0</v>
      </c>
      <c r="J347" s="1" t="s">
        <v>23</v>
      </c>
      <c r="K347" s="1">
        <v>58554</v>
      </c>
      <c r="L347" s="1" t="s">
        <v>40</v>
      </c>
      <c r="M347" s="3" t="s">
        <v>102</v>
      </c>
    </row>
    <row r="348" spans="1:13" x14ac:dyDescent="0.25">
      <c r="A348" s="2">
        <v>10208</v>
      </c>
      <c r="B348" s="1" t="s">
        <v>1216</v>
      </c>
      <c r="C348" s="1" t="s">
        <v>1217</v>
      </c>
      <c r="D348" s="1" t="s">
        <v>1218</v>
      </c>
      <c r="E348" s="1" t="s">
        <v>13</v>
      </c>
      <c r="F348" s="1" t="s">
        <v>1219</v>
      </c>
      <c r="G348" s="1">
        <v>7</v>
      </c>
      <c r="H348" s="1" t="s">
        <v>138</v>
      </c>
      <c r="I348" s="1">
        <v>0</v>
      </c>
      <c r="J348" s="1" t="s">
        <v>23</v>
      </c>
      <c r="K348" s="1">
        <v>61890</v>
      </c>
      <c r="L348" s="1" t="s">
        <v>125</v>
      </c>
      <c r="M348" s="3" t="s">
        <v>41</v>
      </c>
    </row>
    <row r="349" spans="1:13" x14ac:dyDescent="0.25">
      <c r="A349" s="2">
        <v>10209</v>
      </c>
      <c r="B349" s="1" t="s">
        <v>1220</v>
      </c>
      <c r="C349" s="1" t="s">
        <v>1221</v>
      </c>
      <c r="D349" s="1" t="s">
        <v>1222</v>
      </c>
      <c r="E349" s="1" t="s">
        <v>33</v>
      </c>
      <c r="F349" s="1" t="s">
        <v>1223</v>
      </c>
      <c r="G349" s="1">
        <v>10</v>
      </c>
      <c r="H349" s="1" t="s">
        <v>15</v>
      </c>
      <c r="I349" s="1">
        <v>0</v>
      </c>
      <c r="J349" s="1" t="s">
        <v>23</v>
      </c>
      <c r="K349" s="1">
        <v>57996</v>
      </c>
      <c r="L349" s="1" t="s">
        <v>108</v>
      </c>
      <c r="M349" s="3" t="s">
        <v>41</v>
      </c>
    </row>
    <row r="350" spans="1:13" x14ac:dyDescent="0.25">
      <c r="A350" s="2">
        <v>10209</v>
      </c>
      <c r="B350" s="1" t="s">
        <v>1220</v>
      </c>
      <c r="C350" s="1" t="s">
        <v>1221</v>
      </c>
      <c r="D350" s="1" t="s">
        <v>1222</v>
      </c>
      <c r="E350" s="1" t="s">
        <v>33</v>
      </c>
      <c r="F350" s="1" t="s">
        <v>1223</v>
      </c>
      <c r="G350" s="1">
        <v>10</v>
      </c>
      <c r="H350" s="1" t="s">
        <v>15</v>
      </c>
      <c r="I350" s="1">
        <v>0</v>
      </c>
      <c r="J350" s="1" t="s">
        <v>23</v>
      </c>
      <c r="K350" s="1">
        <v>57996</v>
      </c>
      <c r="L350" s="1" t="s">
        <v>40</v>
      </c>
      <c r="M350" s="3" t="s">
        <v>41</v>
      </c>
    </row>
    <row r="351" spans="1:13" x14ac:dyDescent="0.25">
      <c r="A351" s="2">
        <v>287414</v>
      </c>
      <c r="B351" s="1" t="s">
        <v>347</v>
      </c>
      <c r="C351" s="1" t="s">
        <v>1224</v>
      </c>
      <c r="D351" s="1" t="s">
        <v>1225</v>
      </c>
      <c r="E351" s="1" t="s">
        <v>13</v>
      </c>
      <c r="F351" s="1" t="s">
        <v>1226</v>
      </c>
      <c r="G351" s="1">
        <v>4</v>
      </c>
      <c r="H351" s="1" t="s">
        <v>35</v>
      </c>
      <c r="I351" s="1">
        <v>0</v>
      </c>
      <c r="J351" s="1" t="s">
        <v>23</v>
      </c>
      <c r="K351" s="1">
        <v>51536</v>
      </c>
      <c r="L351" s="1" t="s">
        <v>24</v>
      </c>
      <c r="M351" s="3" t="s">
        <v>18</v>
      </c>
    </row>
    <row r="352" spans="1:13" x14ac:dyDescent="0.25">
      <c r="A352" s="2">
        <v>10210</v>
      </c>
      <c r="B352" s="1" t="s">
        <v>1227</v>
      </c>
      <c r="C352" s="1" t="s">
        <v>1228</v>
      </c>
      <c r="D352" s="1" t="s">
        <v>1229</v>
      </c>
      <c r="E352" s="1" t="s">
        <v>13</v>
      </c>
      <c r="F352" s="1" t="s">
        <v>1230</v>
      </c>
      <c r="G352" s="1">
        <v>3</v>
      </c>
      <c r="H352" s="1" t="s">
        <v>35</v>
      </c>
      <c r="I352" s="1">
        <v>1</v>
      </c>
      <c r="J352" s="1" t="s">
        <v>1231</v>
      </c>
      <c r="K352" s="1">
        <v>40000</v>
      </c>
      <c r="L352" s="1" t="s">
        <v>89</v>
      </c>
      <c r="M352" s="3" t="s">
        <v>41</v>
      </c>
    </row>
    <row r="353" spans="1:13" x14ac:dyDescent="0.25">
      <c r="A353" s="2">
        <v>210499</v>
      </c>
      <c r="B353" s="1" t="s">
        <v>1232</v>
      </c>
      <c r="C353" s="1" t="s">
        <v>1233</v>
      </c>
      <c r="D353" s="1" t="s">
        <v>1234</v>
      </c>
      <c r="E353" s="1" t="s">
        <v>13</v>
      </c>
      <c r="F353" s="1" t="s">
        <v>1235</v>
      </c>
      <c r="G353" s="1">
        <v>5</v>
      </c>
      <c r="H353" s="1" t="s">
        <v>15</v>
      </c>
      <c r="I353" s="1">
        <v>0</v>
      </c>
      <c r="J353" s="1" t="s">
        <v>23</v>
      </c>
      <c r="K353" s="1">
        <v>71701</v>
      </c>
      <c r="L353" s="1" t="s">
        <v>125</v>
      </c>
      <c r="M353" s="3" t="s">
        <v>41</v>
      </c>
    </row>
    <row r="354" spans="1:13" x14ac:dyDescent="0.25">
      <c r="A354" s="2">
        <v>10211</v>
      </c>
      <c r="B354" s="1" t="s">
        <v>1236</v>
      </c>
      <c r="C354" s="1" t="s">
        <v>1237</v>
      </c>
      <c r="D354" s="1" t="s">
        <v>1238</v>
      </c>
      <c r="E354" s="1" t="s">
        <v>33</v>
      </c>
      <c r="F354" s="1" t="s">
        <v>1239</v>
      </c>
      <c r="G354" s="1">
        <v>7</v>
      </c>
      <c r="H354" s="1" t="s">
        <v>35</v>
      </c>
      <c r="I354" s="1">
        <v>0</v>
      </c>
      <c r="J354" s="1" t="s">
        <v>23</v>
      </c>
      <c r="K354" s="1">
        <v>49032</v>
      </c>
      <c r="L354" s="1" t="s">
        <v>17</v>
      </c>
      <c r="M354" s="3" t="s">
        <v>18</v>
      </c>
    </row>
    <row r="355" spans="1:13" x14ac:dyDescent="0.25">
      <c r="A355" s="2">
        <v>10212</v>
      </c>
      <c r="B355" s="1" t="s">
        <v>1240</v>
      </c>
      <c r="C355" s="1" t="s">
        <v>190</v>
      </c>
      <c r="D355" s="1" t="s">
        <v>1241</v>
      </c>
      <c r="E355" s="1" t="s">
        <v>13</v>
      </c>
      <c r="F355" s="1" t="s">
        <v>1242</v>
      </c>
      <c r="G355" s="1">
        <v>8</v>
      </c>
      <c r="H355" s="1" t="s">
        <v>35</v>
      </c>
      <c r="I355" s="1">
        <v>1</v>
      </c>
      <c r="J355" s="1" t="s">
        <v>1243</v>
      </c>
      <c r="K355" s="1">
        <v>65938</v>
      </c>
      <c r="L355" s="1" t="s">
        <v>17</v>
      </c>
      <c r="M355" s="3" t="s">
        <v>18</v>
      </c>
    </row>
    <row r="356" spans="1:13" x14ac:dyDescent="0.25">
      <c r="A356" s="2">
        <v>268566</v>
      </c>
      <c r="B356" s="1" t="s">
        <v>1244</v>
      </c>
      <c r="C356" s="1" t="s">
        <v>1150</v>
      </c>
      <c r="D356" s="1" t="s">
        <v>1245</v>
      </c>
      <c r="E356" s="1" t="s">
        <v>13</v>
      </c>
      <c r="F356" s="1" t="s">
        <v>1246</v>
      </c>
      <c r="G356" s="1">
        <v>8</v>
      </c>
      <c r="H356" s="1" t="s">
        <v>29</v>
      </c>
      <c r="I356" s="1">
        <v>0</v>
      </c>
      <c r="J356" s="1" t="s">
        <v>23</v>
      </c>
      <c r="K356" s="1">
        <v>73481</v>
      </c>
      <c r="L356" s="1" t="s">
        <v>40</v>
      </c>
      <c r="M356" s="3" t="s">
        <v>41</v>
      </c>
    </row>
    <row r="357" spans="1:13" x14ac:dyDescent="0.25">
      <c r="A357" s="2">
        <v>10213</v>
      </c>
      <c r="B357" s="1" t="s">
        <v>1247</v>
      </c>
      <c r="C357" s="1" t="s">
        <v>1248</v>
      </c>
      <c r="D357" s="1" t="s">
        <v>1249</v>
      </c>
      <c r="E357" s="1" t="s">
        <v>13</v>
      </c>
      <c r="F357" s="1" t="s">
        <v>1250</v>
      </c>
      <c r="G357" s="1">
        <v>8</v>
      </c>
      <c r="H357" s="1" t="s">
        <v>15</v>
      </c>
      <c r="I357" s="1">
        <v>0</v>
      </c>
      <c r="J357" s="1" t="s">
        <v>23</v>
      </c>
      <c r="K357" s="1">
        <v>40000</v>
      </c>
      <c r="L357" s="1" t="s">
        <v>89</v>
      </c>
      <c r="M357" s="3" t="s">
        <v>41</v>
      </c>
    </row>
    <row r="358" spans="1:13" x14ac:dyDescent="0.25">
      <c r="A358" s="2">
        <v>10214</v>
      </c>
      <c r="B358" s="1" t="s">
        <v>1251</v>
      </c>
      <c r="C358" s="1" t="s">
        <v>1252</v>
      </c>
      <c r="D358" s="1" t="s">
        <v>1253</v>
      </c>
      <c r="E358" s="1" t="s">
        <v>13</v>
      </c>
      <c r="F358" s="1" t="s">
        <v>1254</v>
      </c>
      <c r="G358" s="1">
        <v>10</v>
      </c>
      <c r="H358" s="1" t="s">
        <v>29</v>
      </c>
      <c r="I358" s="1">
        <v>0</v>
      </c>
      <c r="J358" s="1" t="s">
        <v>23</v>
      </c>
      <c r="K358" s="1">
        <v>58341</v>
      </c>
      <c r="L358" s="1" t="s">
        <v>40</v>
      </c>
      <c r="M358" s="3" t="s">
        <v>102</v>
      </c>
    </row>
    <row r="359" spans="1:13" x14ac:dyDescent="0.25">
      <c r="A359" s="2">
        <v>53312</v>
      </c>
      <c r="B359" s="1" t="s">
        <v>1255</v>
      </c>
      <c r="C359" s="1" t="s">
        <v>1256</v>
      </c>
      <c r="D359" s="1" t="s">
        <v>1257</v>
      </c>
      <c r="E359" s="1" t="s">
        <v>13</v>
      </c>
      <c r="F359" s="1" t="s">
        <v>1258</v>
      </c>
      <c r="G359" s="1">
        <v>5</v>
      </c>
      <c r="H359" s="1" t="s">
        <v>15</v>
      </c>
      <c r="I359" s="1">
        <v>0</v>
      </c>
      <c r="J359" s="1" t="s">
        <v>23</v>
      </c>
      <c r="K359" s="1">
        <v>70268</v>
      </c>
      <c r="L359" s="1" t="s">
        <v>40</v>
      </c>
      <c r="M359" s="3" t="s">
        <v>41</v>
      </c>
    </row>
    <row r="360" spans="1:13" x14ac:dyDescent="0.25">
      <c r="A360" s="2">
        <v>10215</v>
      </c>
      <c r="B360" s="1" t="s">
        <v>1259</v>
      </c>
      <c r="C360" s="1" t="s">
        <v>1260</v>
      </c>
      <c r="D360" s="1" t="s">
        <v>1069</v>
      </c>
      <c r="E360" s="1" t="s">
        <v>13</v>
      </c>
      <c r="F360" s="1" t="s">
        <v>1261</v>
      </c>
      <c r="G360" s="1">
        <v>1</v>
      </c>
      <c r="H360" s="1" t="s">
        <v>29</v>
      </c>
      <c r="I360" s="1">
        <v>0</v>
      </c>
      <c r="J360" s="1" t="s">
        <v>23</v>
      </c>
      <c r="K360" s="1">
        <v>43944</v>
      </c>
      <c r="L360" s="1" t="s">
        <v>40</v>
      </c>
      <c r="M360" s="3" t="s">
        <v>102</v>
      </c>
    </row>
    <row r="361" spans="1:13" x14ac:dyDescent="0.25">
      <c r="A361" s="2">
        <v>10216</v>
      </c>
      <c r="B361" s="1" t="s">
        <v>1262</v>
      </c>
      <c r="C361" s="1" t="s">
        <v>1263</v>
      </c>
      <c r="D361" s="1" t="s">
        <v>1264</v>
      </c>
      <c r="E361" s="1" t="s">
        <v>13</v>
      </c>
      <c r="F361" s="1" t="s">
        <v>1265</v>
      </c>
      <c r="G361" s="1">
        <v>5</v>
      </c>
      <c r="H361" s="1" t="s">
        <v>29</v>
      </c>
      <c r="I361" s="1">
        <v>1</v>
      </c>
      <c r="J361" s="1" t="s">
        <v>1266</v>
      </c>
      <c r="K361" s="1">
        <v>40000</v>
      </c>
      <c r="L361" s="1" t="s">
        <v>61</v>
      </c>
      <c r="M361" s="3" t="s">
        <v>41</v>
      </c>
    </row>
    <row r="362" spans="1:13" x14ac:dyDescent="0.25">
      <c r="A362" s="2">
        <v>214747</v>
      </c>
      <c r="B362" s="1" t="s">
        <v>1267</v>
      </c>
      <c r="C362" s="1" t="s">
        <v>1268</v>
      </c>
      <c r="D362" s="1" t="s">
        <v>1269</v>
      </c>
      <c r="E362" s="1" t="s">
        <v>33</v>
      </c>
      <c r="F362" s="1" t="s">
        <v>1270</v>
      </c>
      <c r="G362" s="1">
        <v>3</v>
      </c>
      <c r="H362" s="1" t="s">
        <v>29</v>
      </c>
      <c r="I362" s="1">
        <v>1</v>
      </c>
      <c r="J362" s="1" t="s">
        <v>1271</v>
      </c>
      <c r="K362" s="1">
        <v>40000</v>
      </c>
      <c r="L362" s="1" t="s">
        <v>89</v>
      </c>
      <c r="M362" s="3" t="s">
        <v>41</v>
      </c>
    </row>
    <row r="363" spans="1:13" x14ac:dyDescent="0.25">
      <c r="A363" s="2">
        <v>10217</v>
      </c>
      <c r="B363" s="1" t="s">
        <v>1272</v>
      </c>
      <c r="C363" s="1" t="s">
        <v>1273</v>
      </c>
      <c r="D363" s="1" t="s">
        <v>1274</v>
      </c>
      <c r="E363" s="1" t="s">
        <v>33</v>
      </c>
      <c r="F363" s="1" t="s">
        <v>1275</v>
      </c>
      <c r="G363" s="1">
        <v>2</v>
      </c>
      <c r="H363" s="1" t="s">
        <v>35</v>
      </c>
      <c r="I363" s="1">
        <v>0</v>
      </c>
      <c r="J363" s="1" t="s">
        <v>23</v>
      </c>
      <c r="K363" s="1">
        <v>40000</v>
      </c>
      <c r="L363" s="1" t="s">
        <v>24</v>
      </c>
      <c r="M363" s="3" t="s">
        <v>156</v>
      </c>
    </row>
    <row r="364" spans="1:13" x14ac:dyDescent="0.25">
      <c r="A364" s="2">
        <v>10218</v>
      </c>
      <c r="B364" s="1" t="s">
        <v>1276</v>
      </c>
      <c r="C364" s="1" t="s">
        <v>763</v>
      </c>
      <c r="D364" s="1" t="s">
        <v>1277</v>
      </c>
      <c r="E364" s="1" t="s">
        <v>13</v>
      </c>
      <c r="F364" s="1" t="s">
        <v>1278</v>
      </c>
      <c r="G364" s="1">
        <v>5</v>
      </c>
      <c r="H364" s="1" t="s">
        <v>35</v>
      </c>
      <c r="I364" s="1">
        <v>1</v>
      </c>
      <c r="J364" s="1" t="s">
        <v>1279</v>
      </c>
      <c r="K364" s="1">
        <v>40788</v>
      </c>
      <c r="L364" s="1" t="s">
        <v>24</v>
      </c>
      <c r="M364" s="3" t="s">
        <v>18</v>
      </c>
    </row>
    <row r="365" spans="1:13" x14ac:dyDescent="0.25">
      <c r="A365" s="2">
        <v>231751</v>
      </c>
      <c r="B365" s="1" t="s">
        <v>1280</v>
      </c>
      <c r="C365" s="1" t="s">
        <v>1281</v>
      </c>
      <c r="D365" s="1" t="s">
        <v>149</v>
      </c>
      <c r="E365" s="1" t="s">
        <v>33</v>
      </c>
      <c r="F365" s="1" t="s">
        <v>1282</v>
      </c>
      <c r="G365" s="1">
        <v>9</v>
      </c>
      <c r="H365" s="1" t="s">
        <v>15</v>
      </c>
      <c r="I365" s="1">
        <v>0</v>
      </c>
      <c r="J365" s="1" t="s">
        <v>23</v>
      </c>
      <c r="K365" s="1">
        <v>40000</v>
      </c>
      <c r="L365" s="1" t="s">
        <v>89</v>
      </c>
      <c r="M365" s="3" t="s">
        <v>102</v>
      </c>
    </row>
    <row r="366" spans="1:13" x14ac:dyDescent="0.25">
      <c r="A366" s="2">
        <v>10219</v>
      </c>
      <c r="B366" s="1" t="s">
        <v>1283</v>
      </c>
      <c r="C366" s="1" t="s">
        <v>1284</v>
      </c>
      <c r="D366" s="1" t="s">
        <v>1285</v>
      </c>
      <c r="E366" s="1" t="s">
        <v>13</v>
      </c>
      <c r="F366" s="1" t="s">
        <v>1286</v>
      </c>
      <c r="G366" s="1">
        <v>2</v>
      </c>
      <c r="H366" s="1" t="s">
        <v>35</v>
      </c>
      <c r="I366" s="1">
        <v>0</v>
      </c>
      <c r="J366" s="1" t="s">
        <v>23</v>
      </c>
      <c r="K366" s="1">
        <v>40000</v>
      </c>
      <c r="L366" s="1" t="s">
        <v>17</v>
      </c>
      <c r="M366" s="3" t="s">
        <v>102</v>
      </c>
    </row>
    <row r="367" spans="1:13" x14ac:dyDescent="0.25">
      <c r="A367" s="2">
        <v>10219</v>
      </c>
      <c r="B367" s="1" t="s">
        <v>1283</v>
      </c>
      <c r="C367" s="1" t="s">
        <v>1284</v>
      </c>
      <c r="D367" s="1" t="s">
        <v>1285</v>
      </c>
      <c r="E367" s="1" t="s">
        <v>13</v>
      </c>
      <c r="F367" s="1" t="s">
        <v>1286</v>
      </c>
      <c r="G367" s="1">
        <v>2</v>
      </c>
      <c r="H367" s="1" t="s">
        <v>35</v>
      </c>
      <c r="I367" s="1">
        <v>0</v>
      </c>
      <c r="J367" s="1" t="s">
        <v>23</v>
      </c>
      <c r="K367" s="1">
        <v>40000</v>
      </c>
      <c r="L367" s="1" t="s">
        <v>89</v>
      </c>
      <c r="M367" s="3" t="s">
        <v>102</v>
      </c>
    </row>
    <row r="368" spans="1:13" x14ac:dyDescent="0.25">
      <c r="A368" s="2">
        <v>201452</v>
      </c>
      <c r="B368" s="1" t="s">
        <v>1287</v>
      </c>
      <c r="C368" s="1" t="s">
        <v>214</v>
      </c>
      <c r="D368" s="1" t="s">
        <v>1229</v>
      </c>
      <c r="E368" s="1" t="s">
        <v>13</v>
      </c>
      <c r="F368" s="1" t="s">
        <v>1288</v>
      </c>
      <c r="G368" s="1">
        <v>6</v>
      </c>
      <c r="H368" s="1" t="s">
        <v>15</v>
      </c>
      <c r="I368" s="1">
        <v>0</v>
      </c>
      <c r="J368" s="1" t="s">
        <v>23</v>
      </c>
      <c r="K368" s="1">
        <v>58639</v>
      </c>
      <c r="L368" s="1" t="s">
        <v>24</v>
      </c>
      <c r="M368" s="3" t="s">
        <v>55</v>
      </c>
    </row>
    <row r="369" spans="1:13" x14ac:dyDescent="0.25">
      <c r="A369" s="2">
        <v>10220</v>
      </c>
      <c r="B369" s="1" t="s">
        <v>1289</v>
      </c>
      <c r="C369" s="1" t="s">
        <v>1290</v>
      </c>
      <c r="D369" s="1" t="s">
        <v>1291</v>
      </c>
      <c r="E369" s="1" t="s">
        <v>33</v>
      </c>
      <c r="F369" s="1" t="s">
        <v>1292</v>
      </c>
      <c r="G369" s="1">
        <v>8</v>
      </c>
      <c r="H369" s="1" t="s">
        <v>15</v>
      </c>
      <c r="I369" s="1">
        <v>0</v>
      </c>
      <c r="J369" s="1" t="s">
        <v>23</v>
      </c>
      <c r="K369" s="1">
        <v>58883</v>
      </c>
      <c r="L369" s="1" t="s">
        <v>108</v>
      </c>
      <c r="M369" s="3" t="s">
        <v>41</v>
      </c>
    </row>
    <row r="370" spans="1:13" x14ac:dyDescent="0.25">
      <c r="A370" s="2">
        <v>10221</v>
      </c>
      <c r="B370" s="1" t="s">
        <v>1293</v>
      </c>
      <c r="C370" s="1" t="s">
        <v>1294</v>
      </c>
      <c r="D370" s="1" t="s">
        <v>1295</v>
      </c>
      <c r="E370" s="1" t="s">
        <v>13</v>
      </c>
      <c r="F370" s="1" t="s">
        <v>1296</v>
      </c>
      <c r="G370" s="1">
        <v>1</v>
      </c>
      <c r="H370" s="1" t="s">
        <v>15</v>
      </c>
      <c r="I370" s="1">
        <v>0</v>
      </c>
      <c r="J370" s="1" t="s">
        <v>23</v>
      </c>
      <c r="K370" s="1">
        <v>57821</v>
      </c>
      <c r="L370" s="1" t="s">
        <v>24</v>
      </c>
      <c r="M370" s="3" t="s">
        <v>18</v>
      </c>
    </row>
    <row r="371" spans="1:13" x14ac:dyDescent="0.25">
      <c r="A371" s="2">
        <v>435436</v>
      </c>
      <c r="B371" s="1" t="s">
        <v>1297</v>
      </c>
      <c r="C371" s="1" t="s">
        <v>1298</v>
      </c>
      <c r="D371" s="1" t="s">
        <v>1299</v>
      </c>
      <c r="E371" s="1" t="s">
        <v>33</v>
      </c>
      <c r="F371" s="1" t="s">
        <v>1300</v>
      </c>
      <c r="G371" s="1">
        <v>2</v>
      </c>
      <c r="H371" s="1" t="s">
        <v>29</v>
      </c>
      <c r="I371" s="1">
        <v>1</v>
      </c>
      <c r="J371" s="1" t="s">
        <v>1301</v>
      </c>
      <c r="K371" s="1">
        <v>55903</v>
      </c>
      <c r="L371" s="1" t="s">
        <v>24</v>
      </c>
      <c r="M371" s="3" t="s">
        <v>18</v>
      </c>
    </row>
    <row r="372" spans="1:13" x14ac:dyDescent="0.25">
      <c r="A372" s="2">
        <v>10222</v>
      </c>
      <c r="B372" s="1" t="s">
        <v>1302</v>
      </c>
      <c r="C372" s="1" t="s">
        <v>1303</v>
      </c>
      <c r="D372" s="1" t="s">
        <v>1304</v>
      </c>
      <c r="E372" s="1" t="s">
        <v>13</v>
      </c>
      <c r="F372" s="1" t="s">
        <v>1305</v>
      </c>
      <c r="G372" s="1">
        <v>7</v>
      </c>
      <c r="H372" s="1" t="s">
        <v>29</v>
      </c>
      <c r="I372" s="1">
        <v>0</v>
      </c>
      <c r="J372" s="1" t="s">
        <v>23</v>
      </c>
      <c r="K372" s="1">
        <v>40000</v>
      </c>
      <c r="L372" s="1" t="s">
        <v>24</v>
      </c>
      <c r="M372" s="3" t="s">
        <v>55</v>
      </c>
    </row>
    <row r="373" spans="1:13" x14ac:dyDescent="0.25">
      <c r="A373" s="2">
        <v>10223</v>
      </c>
      <c r="B373" s="1" t="s">
        <v>1306</v>
      </c>
      <c r="C373" s="1" t="s">
        <v>1307</v>
      </c>
      <c r="D373" s="1" t="s">
        <v>1308</v>
      </c>
      <c r="E373" s="1" t="s">
        <v>33</v>
      </c>
      <c r="F373" s="1" t="s">
        <v>1309</v>
      </c>
      <c r="G373" s="1">
        <v>1</v>
      </c>
      <c r="H373" s="1" t="s">
        <v>15</v>
      </c>
      <c r="I373" s="1">
        <v>0</v>
      </c>
      <c r="J373" s="1" t="s">
        <v>23</v>
      </c>
      <c r="K373" s="1">
        <v>62922</v>
      </c>
      <c r="L373" s="1" t="s">
        <v>17</v>
      </c>
      <c r="M373" s="3" t="s">
        <v>55</v>
      </c>
    </row>
    <row r="374" spans="1:13" x14ac:dyDescent="0.25">
      <c r="A374" s="2">
        <v>98882</v>
      </c>
      <c r="B374" s="1" t="s">
        <v>1310</v>
      </c>
      <c r="C374" s="1" t="s">
        <v>284</v>
      </c>
      <c r="D374" s="1" t="s">
        <v>1311</v>
      </c>
      <c r="E374" s="1" t="s">
        <v>33</v>
      </c>
      <c r="F374" s="1" t="s">
        <v>1312</v>
      </c>
      <c r="G374" s="1">
        <v>1</v>
      </c>
      <c r="H374" s="1" t="s">
        <v>15</v>
      </c>
      <c r="I374" s="1">
        <v>0</v>
      </c>
      <c r="J374" s="1" t="s">
        <v>23</v>
      </c>
      <c r="K374" s="1">
        <v>40000</v>
      </c>
      <c r="L374" s="1" t="s">
        <v>17</v>
      </c>
      <c r="M374" s="3" t="s">
        <v>18</v>
      </c>
    </row>
    <row r="375" spans="1:13" x14ac:dyDescent="0.25">
      <c r="A375" s="2">
        <v>10224</v>
      </c>
      <c r="B375" s="1" t="s">
        <v>1313</v>
      </c>
      <c r="C375" s="1" t="s">
        <v>1314</v>
      </c>
      <c r="D375" s="1" t="s">
        <v>1315</v>
      </c>
      <c r="E375" s="1" t="s">
        <v>13</v>
      </c>
      <c r="F375" s="1" t="s">
        <v>1316</v>
      </c>
      <c r="G375" s="1">
        <v>7</v>
      </c>
      <c r="H375" s="1" t="s">
        <v>29</v>
      </c>
      <c r="I375" s="1">
        <v>0</v>
      </c>
      <c r="J375" s="1" t="s">
        <v>23</v>
      </c>
      <c r="K375" s="1">
        <v>40000</v>
      </c>
      <c r="L375" s="1" t="s">
        <v>24</v>
      </c>
      <c r="M375" s="3" t="s">
        <v>18</v>
      </c>
    </row>
    <row r="376" spans="1:13" x14ac:dyDescent="0.25">
      <c r="A376" s="2">
        <v>10225</v>
      </c>
      <c r="B376" s="1" t="s">
        <v>455</v>
      </c>
      <c r="C376" s="1" t="s">
        <v>1317</v>
      </c>
      <c r="D376" s="1" t="s">
        <v>1318</v>
      </c>
      <c r="E376" s="1" t="s">
        <v>33</v>
      </c>
      <c r="F376" s="1" t="s">
        <v>1319</v>
      </c>
      <c r="G376" s="1">
        <v>7</v>
      </c>
      <c r="H376" s="1" t="s">
        <v>15</v>
      </c>
      <c r="I376" s="1">
        <v>0</v>
      </c>
      <c r="J376" s="1" t="s">
        <v>23</v>
      </c>
      <c r="K376" s="1">
        <v>40000</v>
      </c>
      <c r="L376" s="1" t="s">
        <v>89</v>
      </c>
      <c r="M376" s="3" t="s">
        <v>41</v>
      </c>
    </row>
    <row r="377" spans="1:13" x14ac:dyDescent="0.25">
      <c r="A377" s="2">
        <v>42924</v>
      </c>
      <c r="B377" s="1" t="s">
        <v>722</v>
      </c>
      <c r="C377" s="1" t="s">
        <v>1320</v>
      </c>
      <c r="D377" s="1" t="s">
        <v>1321</v>
      </c>
      <c r="E377" s="1" t="s">
        <v>33</v>
      </c>
      <c r="F377" s="1" t="s">
        <v>1322</v>
      </c>
      <c r="G377" s="1">
        <v>8</v>
      </c>
      <c r="H377" s="1" t="s">
        <v>29</v>
      </c>
      <c r="I377" s="1">
        <v>0</v>
      </c>
      <c r="J377" s="1" t="s">
        <v>23</v>
      </c>
      <c r="K377" s="1">
        <v>40000</v>
      </c>
      <c r="L377" s="1" t="s">
        <v>24</v>
      </c>
      <c r="M377" s="3" t="s">
        <v>18</v>
      </c>
    </row>
    <row r="378" spans="1:13" x14ac:dyDescent="0.25">
      <c r="A378" s="2">
        <v>10226</v>
      </c>
      <c r="B378" s="1" t="s">
        <v>1323</v>
      </c>
      <c r="C378" s="1" t="s">
        <v>550</v>
      </c>
      <c r="D378" s="1" t="s">
        <v>1324</v>
      </c>
      <c r="E378" s="1" t="s">
        <v>13</v>
      </c>
      <c r="F378" s="1" t="s">
        <v>1325</v>
      </c>
      <c r="G378" s="1">
        <v>2</v>
      </c>
      <c r="H378" s="1" t="s">
        <v>15</v>
      </c>
      <c r="I378" s="1">
        <v>0</v>
      </c>
      <c r="J378" s="1" t="s">
        <v>23</v>
      </c>
      <c r="K378" s="1">
        <v>79456</v>
      </c>
      <c r="L378" s="1" t="s">
        <v>40</v>
      </c>
      <c r="M378" s="3" t="s">
        <v>41</v>
      </c>
    </row>
    <row r="379" spans="1:13" x14ac:dyDescent="0.25">
      <c r="A379" s="2">
        <v>10227</v>
      </c>
      <c r="B379" s="1" t="s">
        <v>1326</v>
      </c>
      <c r="C379" s="1" t="s">
        <v>1327</v>
      </c>
      <c r="D379" s="1" t="s">
        <v>1328</v>
      </c>
      <c r="E379" s="1" t="s">
        <v>13</v>
      </c>
      <c r="F379" s="1" t="s">
        <v>1329</v>
      </c>
      <c r="G379" s="1">
        <v>4</v>
      </c>
      <c r="H379" s="1" t="s">
        <v>35</v>
      </c>
      <c r="I379" s="1">
        <v>0</v>
      </c>
      <c r="J379" s="1" t="s">
        <v>23</v>
      </c>
      <c r="K379" s="1">
        <v>53497</v>
      </c>
      <c r="L379" s="1" t="s">
        <v>17</v>
      </c>
      <c r="M379" s="3" t="s">
        <v>156</v>
      </c>
    </row>
    <row r="380" spans="1:13" x14ac:dyDescent="0.25">
      <c r="A380" s="2">
        <v>78316</v>
      </c>
      <c r="B380" s="1" t="s">
        <v>1330</v>
      </c>
      <c r="C380" s="1" t="s">
        <v>1331</v>
      </c>
      <c r="D380" s="1" t="s">
        <v>1332</v>
      </c>
      <c r="E380" s="1" t="s">
        <v>13</v>
      </c>
      <c r="F380" s="1" t="s">
        <v>1333</v>
      </c>
      <c r="G380" s="1">
        <v>9</v>
      </c>
      <c r="H380" s="1" t="s">
        <v>35</v>
      </c>
      <c r="I380" s="1">
        <v>0</v>
      </c>
      <c r="J380" s="1" t="s">
        <v>23</v>
      </c>
      <c r="K380" s="1">
        <v>40000</v>
      </c>
      <c r="L380" s="1" t="s">
        <v>17</v>
      </c>
      <c r="M380" s="3" t="s">
        <v>156</v>
      </c>
    </row>
    <row r="381" spans="1:13" x14ac:dyDescent="0.25">
      <c r="A381" s="2">
        <v>10228</v>
      </c>
      <c r="B381" s="1" t="s">
        <v>622</v>
      </c>
      <c r="C381" s="1" t="s">
        <v>615</v>
      </c>
      <c r="D381" s="1" t="s">
        <v>1334</v>
      </c>
      <c r="E381" s="1" t="s">
        <v>33</v>
      </c>
      <c r="F381" s="1" t="s">
        <v>1335</v>
      </c>
      <c r="G381" s="1">
        <v>8</v>
      </c>
      <c r="H381" s="1" t="s">
        <v>35</v>
      </c>
      <c r="I381" s="1">
        <v>0</v>
      </c>
      <c r="J381" s="1" t="s">
        <v>23</v>
      </c>
      <c r="K381" s="1">
        <v>79474</v>
      </c>
      <c r="L381" s="1" t="s">
        <v>125</v>
      </c>
      <c r="M381" s="3" t="s">
        <v>41</v>
      </c>
    </row>
    <row r="382" spans="1:13" x14ac:dyDescent="0.25">
      <c r="A382" s="2">
        <v>10228</v>
      </c>
      <c r="B382" s="1" t="s">
        <v>622</v>
      </c>
      <c r="C382" s="1" t="s">
        <v>615</v>
      </c>
      <c r="D382" s="1" t="s">
        <v>1334</v>
      </c>
      <c r="E382" s="1" t="s">
        <v>33</v>
      </c>
      <c r="F382" s="1" t="s">
        <v>1335</v>
      </c>
      <c r="G382" s="1">
        <v>8</v>
      </c>
      <c r="H382" s="1" t="s">
        <v>35</v>
      </c>
      <c r="I382" s="1">
        <v>0</v>
      </c>
      <c r="J382" s="1" t="s">
        <v>23</v>
      </c>
      <c r="K382" s="1">
        <v>79474</v>
      </c>
      <c r="L382" s="1" t="s">
        <v>40</v>
      </c>
      <c r="M382" s="3" t="s">
        <v>41</v>
      </c>
    </row>
    <row r="383" spans="1:13" x14ac:dyDescent="0.25">
      <c r="A383" s="2">
        <v>430484</v>
      </c>
      <c r="B383" s="1" t="s">
        <v>1336</v>
      </c>
      <c r="C383" s="1" t="s">
        <v>381</v>
      </c>
      <c r="D383" s="1" t="s">
        <v>1337</v>
      </c>
      <c r="E383" s="1" t="s">
        <v>33</v>
      </c>
      <c r="F383" s="1" t="s">
        <v>1338</v>
      </c>
      <c r="G383" s="1">
        <v>5</v>
      </c>
      <c r="H383" s="1" t="s">
        <v>35</v>
      </c>
      <c r="I383" s="1">
        <v>0</v>
      </c>
      <c r="J383" s="1" t="s">
        <v>23</v>
      </c>
      <c r="K383" s="1">
        <v>40000</v>
      </c>
      <c r="L383" s="1" t="s">
        <v>24</v>
      </c>
      <c r="M383" s="3" t="s">
        <v>18</v>
      </c>
    </row>
    <row r="384" spans="1:13" x14ac:dyDescent="0.25">
      <c r="A384" s="2">
        <v>10229</v>
      </c>
      <c r="B384" s="1" t="s">
        <v>1339</v>
      </c>
      <c r="C384" s="1" t="s">
        <v>1340</v>
      </c>
      <c r="D384" s="1" t="s">
        <v>1341</v>
      </c>
      <c r="E384" s="1" t="s">
        <v>13</v>
      </c>
      <c r="F384" s="1" t="s">
        <v>692</v>
      </c>
      <c r="G384" s="1">
        <v>7</v>
      </c>
      <c r="H384" s="1" t="s">
        <v>35</v>
      </c>
      <c r="I384" s="1">
        <v>1</v>
      </c>
      <c r="J384" s="1" t="s">
        <v>1342</v>
      </c>
      <c r="K384" s="1">
        <v>58321</v>
      </c>
      <c r="L384" s="1" t="s">
        <v>71</v>
      </c>
      <c r="M384" s="3" t="s">
        <v>55</v>
      </c>
    </row>
    <row r="385" spans="1:13" x14ac:dyDescent="0.25">
      <c r="A385" s="2">
        <v>10230</v>
      </c>
      <c r="B385" s="1" t="s">
        <v>1343</v>
      </c>
      <c r="C385" s="1" t="s">
        <v>1344</v>
      </c>
      <c r="D385" s="1" t="s">
        <v>1345</v>
      </c>
      <c r="E385" s="1" t="s">
        <v>13</v>
      </c>
      <c r="F385" s="1" t="s">
        <v>1346</v>
      </c>
      <c r="G385" s="1">
        <v>7</v>
      </c>
      <c r="H385" s="1" t="s">
        <v>35</v>
      </c>
      <c r="I385" s="1">
        <v>0</v>
      </c>
      <c r="J385" s="1" t="s">
        <v>23</v>
      </c>
      <c r="K385" s="1">
        <v>47531</v>
      </c>
      <c r="L385" s="1" t="s">
        <v>61</v>
      </c>
      <c r="M385" s="3" t="s">
        <v>41</v>
      </c>
    </row>
    <row r="386" spans="1:13" x14ac:dyDescent="0.25">
      <c r="A386" s="2">
        <v>401368</v>
      </c>
      <c r="B386" s="1" t="s">
        <v>1297</v>
      </c>
      <c r="C386" s="1" t="s">
        <v>1347</v>
      </c>
      <c r="D386" s="1" t="s">
        <v>897</v>
      </c>
      <c r="E386" s="1" t="s">
        <v>13</v>
      </c>
      <c r="F386" s="1" t="s">
        <v>1348</v>
      </c>
      <c r="G386" s="1">
        <v>10</v>
      </c>
      <c r="H386" s="1" t="s">
        <v>15</v>
      </c>
      <c r="I386" s="1">
        <v>0</v>
      </c>
      <c r="J386" s="1" t="s">
        <v>23</v>
      </c>
      <c r="K386" s="1">
        <v>40000</v>
      </c>
      <c r="L386" s="1" t="s">
        <v>17</v>
      </c>
      <c r="M386" s="3" t="s">
        <v>55</v>
      </c>
    </row>
    <row r="387" spans="1:13" x14ac:dyDescent="0.25">
      <c r="A387" s="2">
        <v>10231</v>
      </c>
      <c r="B387" s="1" t="s">
        <v>1349</v>
      </c>
      <c r="C387" s="1" t="s">
        <v>563</v>
      </c>
      <c r="D387" s="1" t="s">
        <v>584</v>
      </c>
      <c r="E387" s="1" t="s">
        <v>33</v>
      </c>
      <c r="F387" s="1" t="s">
        <v>1350</v>
      </c>
      <c r="G387" s="1">
        <v>7</v>
      </c>
      <c r="H387" s="1" t="s">
        <v>35</v>
      </c>
      <c r="I387" s="1">
        <v>0</v>
      </c>
      <c r="J387" s="1" t="s">
        <v>23</v>
      </c>
      <c r="K387" s="1">
        <v>40000</v>
      </c>
      <c r="L387" s="1" t="s">
        <v>89</v>
      </c>
      <c r="M387" s="3" t="s">
        <v>41</v>
      </c>
    </row>
    <row r="388" spans="1:13" x14ac:dyDescent="0.25">
      <c r="A388" s="2">
        <v>10232</v>
      </c>
      <c r="B388" s="1" t="s">
        <v>1351</v>
      </c>
      <c r="C388" s="1" t="s">
        <v>1352</v>
      </c>
      <c r="D388" s="1" t="s">
        <v>857</v>
      </c>
      <c r="E388" s="1" t="s">
        <v>33</v>
      </c>
      <c r="F388" s="1" t="s">
        <v>1353</v>
      </c>
      <c r="G388" s="1">
        <v>9</v>
      </c>
      <c r="H388" s="1" t="s">
        <v>29</v>
      </c>
      <c r="I388" s="1">
        <v>1</v>
      </c>
      <c r="J388" s="1" t="s">
        <v>1354</v>
      </c>
      <c r="K388" s="1">
        <v>89606</v>
      </c>
      <c r="L388" s="1" t="s">
        <v>40</v>
      </c>
      <c r="M388" s="3" t="s">
        <v>41</v>
      </c>
    </row>
    <row r="389" spans="1:13" x14ac:dyDescent="0.25">
      <c r="A389" s="2">
        <v>211383</v>
      </c>
      <c r="B389" s="1" t="s">
        <v>1355</v>
      </c>
      <c r="C389" s="1" t="s">
        <v>1356</v>
      </c>
      <c r="D389" s="1" t="s">
        <v>1357</v>
      </c>
      <c r="E389" s="1" t="s">
        <v>13</v>
      </c>
      <c r="F389" s="1" t="s">
        <v>1358</v>
      </c>
      <c r="G389" s="1">
        <v>9</v>
      </c>
      <c r="H389" s="1" t="s">
        <v>29</v>
      </c>
      <c r="I389" s="1">
        <v>0</v>
      </c>
      <c r="J389" s="1" t="s">
        <v>23</v>
      </c>
      <c r="K389" s="1">
        <v>54215</v>
      </c>
      <c r="L389" s="1" t="s">
        <v>125</v>
      </c>
      <c r="M389" s="3" t="s">
        <v>41</v>
      </c>
    </row>
    <row r="390" spans="1:13" x14ac:dyDescent="0.25">
      <c r="A390" s="2">
        <v>211383</v>
      </c>
      <c r="B390" s="1" t="s">
        <v>1355</v>
      </c>
      <c r="C390" s="1" t="s">
        <v>1356</v>
      </c>
      <c r="D390" s="1" t="s">
        <v>1357</v>
      </c>
      <c r="E390" s="1" t="s">
        <v>13</v>
      </c>
      <c r="F390" s="1" t="s">
        <v>1358</v>
      </c>
      <c r="G390" s="1">
        <v>9</v>
      </c>
      <c r="H390" s="1" t="s">
        <v>29</v>
      </c>
      <c r="I390" s="1">
        <v>0</v>
      </c>
      <c r="J390" s="1" t="s">
        <v>23</v>
      </c>
      <c r="K390" s="1">
        <v>54215</v>
      </c>
      <c r="L390" s="1" t="s">
        <v>40</v>
      </c>
      <c r="M390" s="3" t="s">
        <v>41</v>
      </c>
    </row>
    <row r="391" spans="1:13" x14ac:dyDescent="0.25">
      <c r="A391" s="2">
        <v>10233</v>
      </c>
      <c r="B391" s="1" t="s">
        <v>1359</v>
      </c>
      <c r="C391" s="1" t="s">
        <v>1360</v>
      </c>
      <c r="D391" s="1" t="s">
        <v>1361</v>
      </c>
      <c r="E391" s="1" t="s">
        <v>33</v>
      </c>
      <c r="F391" s="1" t="s">
        <v>1362</v>
      </c>
      <c r="G391" s="1">
        <v>1</v>
      </c>
      <c r="H391" s="1" t="s">
        <v>15</v>
      </c>
      <c r="I391" s="1">
        <v>0</v>
      </c>
      <c r="J391" s="1" t="s">
        <v>23</v>
      </c>
      <c r="K391" s="1">
        <v>40000</v>
      </c>
      <c r="L391" s="1" t="s">
        <v>46</v>
      </c>
      <c r="M391" s="3" t="s">
        <v>41</v>
      </c>
    </row>
    <row r="392" spans="1:13" x14ac:dyDescent="0.25">
      <c r="A392" s="2">
        <v>10234</v>
      </c>
      <c r="B392" s="1" t="s">
        <v>1363</v>
      </c>
      <c r="C392" s="1" t="s">
        <v>1364</v>
      </c>
      <c r="D392" s="1" t="s">
        <v>402</v>
      </c>
      <c r="E392" s="1" t="s">
        <v>13</v>
      </c>
      <c r="F392" s="1" t="s">
        <v>1365</v>
      </c>
      <c r="G392" s="1">
        <v>10</v>
      </c>
      <c r="H392" s="1" t="s">
        <v>35</v>
      </c>
      <c r="I392" s="1">
        <v>0</v>
      </c>
      <c r="J392" s="1" t="s">
        <v>23</v>
      </c>
      <c r="K392" s="1">
        <v>84584</v>
      </c>
      <c r="L392" s="1" t="s">
        <v>40</v>
      </c>
      <c r="M392" s="3" t="s">
        <v>41</v>
      </c>
    </row>
    <row r="393" spans="1:13" x14ac:dyDescent="0.25">
      <c r="A393" s="2">
        <v>452859</v>
      </c>
      <c r="B393" s="1" t="s">
        <v>1366</v>
      </c>
      <c r="C393" s="1" t="s">
        <v>1367</v>
      </c>
      <c r="D393" s="1" t="s">
        <v>1368</v>
      </c>
      <c r="E393" s="1" t="s">
        <v>13</v>
      </c>
      <c r="F393" s="1" t="s">
        <v>1369</v>
      </c>
      <c r="G393" s="1">
        <v>2</v>
      </c>
      <c r="H393" s="1" t="s">
        <v>35</v>
      </c>
      <c r="I393" s="1">
        <v>0</v>
      </c>
      <c r="J393" s="1" t="s">
        <v>23</v>
      </c>
      <c r="K393" s="1">
        <v>57777</v>
      </c>
      <c r="L393" s="1" t="s">
        <v>125</v>
      </c>
      <c r="M393" s="3" t="s">
        <v>41</v>
      </c>
    </row>
    <row r="394" spans="1:13" x14ac:dyDescent="0.25">
      <c r="A394" s="2">
        <v>10235</v>
      </c>
      <c r="B394" s="1" t="s">
        <v>1370</v>
      </c>
      <c r="C394" s="1" t="s">
        <v>1371</v>
      </c>
      <c r="D394" s="1" t="s">
        <v>1372</v>
      </c>
      <c r="E394" s="1" t="s">
        <v>33</v>
      </c>
      <c r="F394" s="1" t="s">
        <v>1373</v>
      </c>
      <c r="G394" s="1">
        <v>8</v>
      </c>
      <c r="H394" s="1" t="s">
        <v>29</v>
      </c>
      <c r="I394" s="1">
        <v>1</v>
      </c>
      <c r="J394" s="1" t="s">
        <v>1374</v>
      </c>
      <c r="K394" s="1">
        <v>41941</v>
      </c>
      <c r="L394" s="1" t="s">
        <v>24</v>
      </c>
      <c r="M394" s="3" t="s">
        <v>18</v>
      </c>
    </row>
    <row r="395" spans="1:13" x14ac:dyDescent="0.25">
      <c r="A395" s="2">
        <v>10236</v>
      </c>
      <c r="B395" s="1" t="s">
        <v>735</v>
      </c>
      <c r="C395" s="1" t="s">
        <v>1375</v>
      </c>
      <c r="D395" s="1" t="s">
        <v>1376</v>
      </c>
      <c r="E395" s="1" t="s">
        <v>33</v>
      </c>
      <c r="F395" s="1" t="s">
        <v>1377</v>
      </c>
      <c r="G395" s="1">
        <v>10</v>
      </c>
      <c r="H395" s="1" t="s">
        <v>15</v>
      </c>
      <c r="I395" s="1">
        <v>0</v>
      </c>
      <c r="J395" s="1" t="s">
        <v>23</v>
      </c>
      <c r="K395" s="1">
        <v>80469</v>
      </c>
      <c r="L395" s="1" t="s">
        <v>40</v>
      </c>
      <c r="M395" s="3" t="s">
        <v>41</v>
      </c>
    </row>
    <row r="396" spans="1:13" x14ac:dyDescent="0.25">
      <c r="A396" s="2">
        <v>11842</v>
      </c>
      <c r="B396" s="1" t="s">
        <v>1378</v>
      </c>
      <c r="C396" s="1" t="s">
        <v>1379</v>
      </c>
      <c r="D396" s="1" t="s">
        <v>1380</v>
      </c>
      <c r="E396" s="1" t="s">
        <v>13</v>
      </c>
      <c r="F396" s="1" t="s">
        <v>1381</v>
      </c>
      <c r="G396" s="1">
        <v>9</v>
      </c>
      <c r="H396" s="1" t="s">
        <v>29</v>
      </c>
      <c r="I396" s="1">
        <v>0</v>
      </c>
      <c r="J396" s="1" t="s">
        <v>23</v>
      </c>
      <c r="K396" s="1">
        <v>40000</v>
      </c>
      <c r="L396" s="1" t="s">
        <v>61</v>
      </c>
      <c r="M396" s="3" t="s">
        <v>41</v>
      </c>
    </row>
    <row r="397" spans="1:13" x14ac:dyDescent="0.25">
      <c r="A397" s="2">
        <v>10237</v>
      </c>
      <c r="B397" s="1" t="s">
        <v>1382</v>
      </c>
      <c r="C397" s="1" t="s">
        <v>1383</v>
      </c>
      <c r="D397" s="1" t="s">
        <v>604</v>
      </c>
      <c r="E397" s="1" t="s">
        <v>33</v>
      </c>
      <c r="F397" s="1" t="s">
        <v>1384</v>
      </c>
      <c r="G397" s="1">
        <v>5</v>
      </c>
      <c r="H397" s="1" t="s">
        <v>35</v>
      </c>
      <c r="I397" s="1">
        <v>0</v>
      </c>
      <c r="J397" s="1" t="s">
        <v>23</v>
      </c>
      <c r="K397" s="1">
        <v>100715</v>
      </c>
      <c r="L397" s="1" t="s">
        <v>40</v>
      </c>
      <c r="M397" s="3" t="s">
        <v>41</v>
      </c>
    </row>
    <row r="398" spans="1:13" x14ac:dyDescent="0.25">
      <c r="A398" s="2">
        <v>10238</v>
      </c>
      <c r="B398" s="1" t="s">
        <v>1385</v>
      </c>
      <c r="C398" s="1" t="s">
        <v>1386</v>
      </c>
      <c r="D398" s="1" t="s">
        <v>1387</v>
      </c>
      <c r="E398" s="1" t="s">
        <v>33</v>
      </c>
      <c r="F398" s="1" t="s">
        <v>1388</v>
      </c>
      <c r="G398" s="1">
        <v>4</v>
      </c>
      <c r="H398" s="1" t="s">
        <v>29</v>
      </c>
      <c r="I398" s="1">
        <v>0</v>
      </c>
      <c r="J398" s="1" t="s">
        <v>23</v>
      </c>
      <c r="K398" s="1">
        <v>52764</v>
      </c>
      <c r="L398" s="1" t="s">
        <v>17</v>
      </c>
      <c r="M398" s="3" t="s">
        <v>55</v>
      </c>
    </row>
    <row r="399" spans="1:13" x14ac:dyDescent="0.25">
      <c r="A399" s="2">
        <v>10238</v>
      </c>
      <c r="B399" s="1" t="s">
        <v>1385</v>
      </c>
      <c r="C399" s="1" t="s">
        <v>1386</v>
      </c>
      <c r="D399" s="1" t="s">
        <v>1387</v>
      </c>
      <c r="E399" s="1" t="s">
        <v>33</v>
      </c>
      <c r="F399" s="1" t="s">
        <v>1388</v>
      </c>
      <c r="G399" s="1">
        <v>4</v>
      </c>
      <c r="H399" s="1" t="s">
        <v>29</v>
      </c>
      <c r="I399" s="1">
        <v>0</v>
      </c>
      <c r="J399" s="1" t="s">
        <v>23</v>
      </c>
      <c r="K399" s="1">
        <v>52764</v>
      </c>
      <c r="L399" s="1" t="s">
        <v>61</v>
      </c>
      <c r="M399" s="3" t="s">
        <v>55</v>
      </c>
    </row>
    <row r="400" spans="1:13" x14ac:dyDescent="0.25">
      <c r="A400" s="2">
        <v>439095</v>
      </c>
      <c r="B400" s="1" t="s">
        <v>1389</v>
      </c>
      <c r="C400" s="1" t="s">
        <v>828</v>
      </c>
      <c r="D400" s="1" t="s">
        <v>956</v>
      </c>
      <c r="E400" s="1" t="s">
        <v>13</v>
      </c>
      <c r="F400" s="1" t="s">
        <v>1390</v>
      </c>
      <c r="G400" s="1">
        <v>3</v>
      </c>
      <c r="H400" s="1" t="s">
        <v>35</v>
      </c>
      <c r="I400" s="1">
        <v>0</v>
      </c>
      <c r="J400" s="1" t="s">
        <v>23</v>
      </c>
      <c r="K400" s="1">
        <v>72075</v>
      </c>
      <c r="L400" s="1" t="s">
        <v>125</v>
      </c>
      <c r="M400" s="3" t="s">
        <v>41</v>
      </c>
    </row>
    <row r="401" spans="1:13" x14ac:dyDescent="0.25">
      <c r="A401" s="2">
        <v>10239</v>
      </c>
      <c r="B401" s="1" t="s">
        <v>1391</v>
      </c>
      <c r="C401" s="1" t="s">
        <v>1392</v>
      </c>
      <c r="D401" s="1" t="s">
        <v>1393</v>
      </c>
      <c r="E401" s="1" t="s">
        <v>33</v>
      </c>
      <c r="F401" s="1" t="s">
        <v>264</v>
      </c>
      <c r="G401" s="1">
        <v>2</v>
      </c>
      <c r="H401" s="1" t="s">
        <v>35</v>
      </c>
      <c r="I401" s="1">
        <v>0</v>
      </c>
      <c r="J401" s="1" t="s">
        <v>23</v>
      </c>
      <c r="K401" s="1">
        <v>65146</v>
      </c>
      <c r="L401" s="1" t="s">
        <v>125</v>
      </c>
      <c r="M401" s="3" t="s">
        <v>41</v>
      </c>
    </row>
    <row r="402" spans="1:13" x14ac:dyDescent="0.25">
      <c r="A402" s="2">
        <v>427027</v>
      </c>
      <c r="B402" s="1" t="s">
        <v>1394</v>
      </c>
      <c r="C402" s="1" t="s">
        <v>95</v>
      </c>
      <c r="D402" s="1" t="s">
        <v>1395</v>
      </c>
      <c r="E402" s="1" t="s">
        <v>13</v>
      </c>
      <c r="F402" s="1" t="s">
        <v>1396</v>
      </c>
      <c r="G402" s="1">
        <v>8</v>
      </c>
      <c r="H402" s="1" t="s">
        <v>29</v>
      </c>
      <c r="I402" s="1">
        <v>0</v>
      </c>
      <c r="J402" s="1" t="s">
        <v>23</v>
      </c>
      <c r="K402" s="1">
        <v>40000</v>
      </c>
      <c r="L402" s="1" t="s">
        <v>89</v>
      </c>
      <c r="M402" s="3" t="s">
        <v>41</v>
      </c>
    </row>
    <row r="403" spans="1:13" x14ac:dyDescent="0.25">
      <c r="A403" s="2">
        <v>10240</v>
      </c>
      <c r="B403" s="1" t="s">
        <v>1397</v>
      </c>
      <c r="C403" s="1" t="s">
        <v>1398</v>
      </c>
      <c r="D403" s="1" t="s">
        <v>1399</v>
      </c>
      <c r="E403" s="1" t="s">
        <v>13</v>
      </c>
      <c r="F403" s="1" t="s">
        <v>1400</v>
      </c>
      <c r="G403" s="1">
        <v>9</v>
      </c>
      <c r="H403" s="1" t="s">
        <v>29</v>
      </c>
      <c r="I403" s="1">
        <v>0</v>
      </c>
      <c r="J403" s="1" t="s">
        <v>23</v>
      </c>
      <c r="K403" s="1">
        <v>73874</v>
      </c>
      <c r="L403" s="1" t="s">
        <v>71</v>
      </c>
      <c r="M403" s="3" t="s">
        <v>55</v>
      </c>
    </row>
    <row r="404" spans="1:13" x14ac:dyDescent="0.25">
      <c r="A404" s="2">
        <v>10241</v>
      </c>
      <c r="B404" s="1" t="s">
        <v>1401</v>
      </c>
      <c r="C404" s="1" t="s">
        <v>1402</v>
      </c>
      <c r="D404" s="1" t="s">
        <v>1403</v>
      </c>
      <c r="E404" s="1" t="s">
        <v>13</v>
      </c>
      <c r="F404" s="1" t="s">
        <v>1404</v>
      </c>
      <c r="G404" s="1">
        <v>2</v>
      </c>
      <c r="H404" s="1" t="s">
        <v>35</v>
      </c>
      <c r="I404" s="1">
        <v>0</v>
      </c>
      <c r="J404" s="1" t="s">
        <v>23</v>
      </c>
      <c r="K404" s="1">
        <v>40000</v>
      </c>
      <c r="L404" s="1" t="s">
        <v>108</v>
      </c>
      <c r="M404" s="3" t="s">
        <v>41</v>
      </c>
    </row>
    <row r="405" spans="1:13" x14ac:dyDescent="0.25">
      <c r="A405" s="2">
        <v>10242</v>
      </c>
      <c r="B405" s="1" t="s">
        <v>1405</v>
      </c>
      <c r="C405" s="1" t="s">
        <v>667</v>
      </c>
      <c r="D405" s="1" t="s">
        <v>1406</v>
      </c>
      <c r="E405" s="1" t="s">
        <v>13</v>
      </c>
      <c r="F405" s="1" t="s">
        <v>1407</v>
      </c>
      <c r="G405" s="1">
        <v>4</v>
      </c>
      <c r="H405" s="1" t="s">
        <v>29</v>
      </c>
      <c r="I405" s="1">
        <v>0</v>
      </c>
      <c r="J405" s="1" t="s">
        <v>23</v>
      </c>
      <c r="K405" s="1">
        <v>40000</v>
      </c>
      <c r="L405" s="1" t="s">
        <v>24</v>
      </c>
      <c r="M405" s="3" t="s">
        <v>18</v>
      </c>
    </row>
    <row r="406" spans="1:13" x14ac:dyDescent="0.25">
      <c r="A406" s="2">
        <v>10243</v>
      </c>
      <c r="B406" s="1" t="s">
        <v>1408</v>
      </c>
      <c r="C406" s="1" t="s">
        <v>336</v>
      </c>
      <c r="D406" s="1" t="s">
        <v>1409</v>
      </c>
      <c r="E406" s="1" t="s">
        <v>13</v>
      </c>
      <c r="F406" s="1" t="s">
        <v>1410</v>
      </c>
      <c r="G406" s="1">
        <v>2</v>
      </c>
      <c r="H406" s="1" t="s">
        <v>29</v>
      </c>
      <c r="I406" s="1">
        <v>0</v>
      </c>
      <c r="J406" s="1" t="s">
        <v>23</v>
      </c>
      <c r="K406" s="1">
        <v>59332</v>
      </c>
      <c r="L406" s="1" t="s">
        <v>40</v>
      </c>
      <c r="M406" s="3" t="s">
        <v>102</v>
      </c>
    </row>
    <row r="407" spans="1:13" x14ac:dyDescent="0.25">
      <c r="A407" s="2">
        <v>219797</v>
      </c>
      <c r="B407" s="1" t="s">
        <v>1411</v>
      </c>
      <c r="C407" s="1" t="s">
        <v>1412</v>
      </c>
      <c r="D407" s="1" t="s">
        <v>211</v>
      </c>
      <c r="E407" s="1" t="s">
        <v>13</v>
      </c>
      <c r="F407" s="1" t="s">
        <v>1413</v>
      </c>
      <c r="G407" s="1">
        <v>4</v>
      </c>
      <c r="H407" s="1" t="s">
        <v>15</v>
      </c>
      <c r="I407" s="1">
        <v>0</v>
      </c>
      <c r="J407" s="1" t="s">
        <v>23</v>
      </c>
      <c r="K407" s="1">
        <v>40000</v>
      </c>
      <c r="L407" s="1" t="s">
        <v>40</v>
      </c>
      <c r="M407" s="3" t="s">
        <v>41</v>
      </c>
    </row>
    <row r="408" spans="1:13" x14ac:dyDescent="0.25">
      <c r="A408" s="2">
        <v>10244</v>
      </c>
      <c r="B408" s="1" t="s">
        <v>722</v>
      </c>
      <c r="C408" s="1" t="s">
        <v>853</v>
      </c>
      <c r="D408" s="1" t="s">
        <v>560</v>
      </c>
      <c r="E408" s="1" t="s">
        <v>13</v>
      </c>
      <c r="F408" s="1" t="s">
        <v>1414</v>
      </c>
      <c r="G408" s="1">
        <v>8</v>
      </c>
      <c r="H408" s="1" t="s">
        <v>15</v>
      </c>
      <c r="I408" s="1">
        <v>0</v>
      </c>
      <c r="J408" s="1" t="s">
        <v>23</v>
      </c>
      <c r="K408" s="1">
        <v>56292</v>
      </c>
      <c r="L408" s="1" t="s">
        <v>17</v>
      </c>
      <c r="M408" s="3" t="s">
        <v>55</v>
      </c>
    </row>
    <row r="409" spans="1:13" x14ac:dyDescent="0.25">
      <c r="A409" s="2">
        <v>10245</v>
      </c>
      <c r="B409" s="1" t="s">
        <v>1415</v>
      </c>
      <c r="C409" s="1" t="s">
        <v>1416</v>
      </c>
      <c r="D409" s="1" t="s">
        <v>1417</v>
      </c>
      <c r="E409" s="1" t="s">
        <v>33</v>
      </c>
      <c r="F409" s="1" t="s">
        <v>1418</v>
      </c>
      <c r="G409" s="1">
        <v>1</v>
      </c>
      <c r="H409" s="1" t="s">
        <v>35</v>
      </c>
      <c r="I409" s="1">
        <v>0</v>
      </c>
      <c r="J409" s="1" t="s">
        <v>23</v>
      </c>
      <c r="K409" s="1">
        <v>40000</v>
      </c>
      <c r="L409" s="1" t="s">
        <v>61</v>
      </c>
      <c r="M409" s="3" t="s">
        <v>41</v>
      </c>
    </row>
    <row r="410" spans="1:13" x14ac:dyDescent="0.25">
      <c r="A410" s="2">
        <v>293183</v>
      </c>
      <c r="B410" s="1" t="s">
        <v>1419</v>
      </c>
      <c r="C410" s="1" t="s">
        <v>1420</v>
      </c>
      <c r="D410" s="1" t="s">
        <v>1421</v>
      </c>
      <c r="E410" s="1" t="s">
        <v>33</v>
      </c>
      <c r="F410" s="1" t="s">
        <v>1422</v>
      </c>
      <c r="G410" s="1">
        <v>7</v>
      </c>
      <c r="H410" s="1" t="s">
        <v>15</v>
      </c>
      <c r="I410" s="1">
        <v>0</v>
      </c>
      <c r="J410" s="1" t="s">
        <v>23</v>
      </c>
      <c r="K410" s="1">
        <v>56376</v>
      </c>
      <c r="L410" s="1" t="s">
        <v>24</v>
      </c>
      <c r="M410" s="3" t="s">
        <v>55</v>
      </c>
    </row>
    <row r="411" spans="1:13" x14ac:dyDescent="0.25">
      <c r="A411" s="2">
        <v>10246</v>
      </c>
      <c r="B411" s="1" t="s">
        <v>1423</v>
      </c>
      <c r="C411" s="1" t="s">
        <v>587</v>
      </c>
      <c r="D411" s="1" t="s">
        <v>1424</v>
      </c>
      <c r="E411" s="1" t="s">
        <v>13</v>
      </c>
      <c r="F411" s="1" t="s">
        <v>1425</v>
      </c>
      <c r="G411" s="1">
        <v>6</v>
      </c>
      <c r="H411" s="1" t="s">
        <v>35</v>
      </c>
      <c r="I411" s="1">
        <v>0</v>
      </c>
      <c r="J411" s="1" t="s">
        <v>23</v>
      </c>
      <c r="K411" s="1">
        <v>40000</v>
      </c>
      <c r="L411" s="1" t="s">
        <v>24</v>
      </c>
      <c r="M411" s="3" t="s">
        <v>18</v>
      </c>
    </row>
    <row r="412" spans="1:13" x14ac:dyDescent="0.25">
      <c r="A412" s="2">
        <v>10247</v>
      </c>
      <c r="B412" s="1" t="s">
        <v>1426</v>
      </c>
      <c r="C412" s="1" t="s">
        <v>1427</v>
      </c>
      <c r="D412" s="1" t="s">
        <v>1428</v>
      </c>
      <c r="E412" s="1" t="s">
        <v>33</v>
      </c>
      <c r="F412" s="1" t="s">
        <v>1429</v>
      </c>
      <c r="G412" s="1">
        <v>8</v>
      </c>
      <c r="H412" s="1" t="s">
        <v>29</v>
      </c>
      <c r="I412" s="1">
        <v>0</v>
      </c>
      <c r="J412" s="1" t="s">
        <v>23</v>
      </c>
      <c r="K412" s="1">
        <v>40000</v>
      </c>
      <c r="L412" s="1" t="s">
        <v>24</v>
      </c>
      <c r="M412" s="3" t="s">
        <v>18</v>
      </c>
    </row>
    <row r="413" spans="1:13" x14ac:dyDescent="0.25">
      <c r="A413" s="2">
        <v>439788</v>
      </c>
      <c r="B413" s="1" t="s">
        <v>1430</v>
      </c>
      <c r="C413" s="1" t="s">
        <v>1431</v>
      </c>
      <c r="D413" s="1" t="s">
        <v>1432</v>
      </c>
      <c r="E413" s="1" t="s">
        <v>33</v>
      </c>
      <c r="F413" s="1" t="s">
        <v>1433</v>
      </c>
      <c r="G413" s="1">
        <v>1</v>
      </c>
      <c r="H413" s="1" t="s">
        <v>29</v>
      </c>
      <c r="I413" s="1">
        <v>0</v>
      </c>
      <c r="J413" s="1" t="s">
        <v>23</v>
      </c>
      <c r="K413" s="1">
        <v>40000</v>
      </c>
      <c r="L413" s="1" t="s">
        <v>17</v>
      </c>
      <c r="M413" s="3" t="s">
        <v>55</v>
      </c>
    </row>
    <row r="414" spans="1:13" x14ac:dyDescent="0.25">
      <c r="A414" s="2">
        <v>439788</v>
      </c>
      <c r="B414" s="1" t="s">
        <v>1430</v>
      </c>
      <c r="C414" s="1" t="s">
        <v>1431</v>
      </c>
      <c r="D414" s="1" t="s">
        <v>1432</v>
      </c>
      <c r="E414" s="1" t="s">
        <v>33</v>
      </c>
      <c r="F414" s="1" t="s">
        <v>1433</v>
      </c>
      <c r="G414" s="1">
        <v>1</v>
      </c>
      <c r="H414" s="1" t="s">
        <v>29</v>
      </c>
      <c r="I414" s="1">
        <v>0</v>
      </c>
      <c r="J414" s="1" t="s">
        <v>23</v>
      </c>
      <c r="K414" s="1">
        <v>40000</v>
      </c>
      <c r="L414" s="1" t="s">
        <v>61</v>
      </c>
      <c r="M414" s="3" t="s">
        <v>55</v>
      </c>
    </row>
    <row r="415" spans="1:13" x14ac:dyDescent="0.25">
      <c r="A415" s="2">
        <v>10248</v>
      </c>
      <c r="B415" s="1" t="s">
        <v>1434</v>
      </c>
      <c r="C415" s="1" t="s">
        <v>1435</v>
      </c>
      <c r="D415" s="1" t="s">
        <v>195</v>
      </c>
      <c r="E415" s="1" t="s">
        <v>33</v>
      </c>
      <c r="F415" s="1" t="s">
        <v>1436</v>
      </c>
      <c r="G415" s="1">
        <v>8</v>
      </c>
      <c r="H415" s="1" t="s">
        <v>29</v>
      </c>
      <c r="I415" s="1">
        <v>0</v>
      </c>
      <c r="J415" s="1" t="s">
        <v>23</v>
      </c>
      <c r="K415" s="1">
        <v>58918</v>
      </c>
      <c r="L415" s="1" t="s">
        <v>40</v>
      </c>
      <c r="M415" s="3" t="s">
        <v>41</v>
      </c>
    </row>
    <row r="416" spans="1:13" x14ac:dyDescent="0.25">
      <c r="A416" s="2">
        <v>10249</v>
      </c>
      <c r="B416" s="1" t="s">
        <v>1437</v>
      </c>
      <c r="C416" s="1" t="s">
        <v>1438</v>
      </c>
      <c r="D416" s="1" t="s">
        <v>1439</v>
      </c>
      <c r="E416" s="1" t="s">
        <v>13</v>
      </c>
      <c r="F416" s="1" t="s">
        <v>1440</v>
      </c>
      <c r="G416" s="1">
        <v>5</v>
      </c>
      <c r="H416" s="1" t="s">
        <v>29</v>
      </c>
      <c r="I416" s="1">
        <v>0</v>
      </c>
      <c r="J416" s="1" t="s">
        <v>23</v>
      </c>
      <c r="K416" s="1">
        <v>72192</v>
      </c>
      <c r="L416" s="1" t="s">
        <v>17</v>
      </c>
      <c r="M416" s="3" t="s">
        <v>18</v>
      </c>
    </row>
    <row r="417" spans="1:13" x14ac:dyDescent="0.25">
      <c r="A417" s="2">
        <v>10249</v>
      </c>
      <c r="B417" s="1" t="s">
        <v>1437</v>
      </c>
      <c r="C417" s="1" t="s">
        <v>1438</v>
      </c>
      <c r="D417" s="1" t="s">
        <v>1439</v>
      </c>
      <c r="E417" s="1" t="s">
        <v>13</v>
      </c>
      <c r="F417" s="1" t="s">
        <v>1440</v>
      </c>
      <c r="G417" s="1">
        <v>5</v>
      </c>
      <c r="H417" s="1" t="s">
        <v>29</v>
      </c>
      <c r="I417" s="1">
        <v>0</v>
      </c>
      <c r="J417" s="1" t="s">
        <v>23</v>
      </c>
      <c r="K417" s="1">
        <v>72192</v>
      </c>
      <c r="L417" s="1" t="s">
        <v>61</v>
      </c>
      <c r="M417" s="3" t="s">
        <v>18</v>
      </c>
    </row>
    <row r="418" spans="1:13" x14ac:dyDescent="0.25">
      <c r="A418" s="2">
        <v>431759</v>
      </c>
      <c r="B418" s="1" t="s">
        <v>1441</v>
      </c>
      <c r="C418" s="1" t="s">
        <v>1206</v>
      </c>
      <c r="D418" s="1" t="s">
        <v>744</v>
      </c>
      <c r="E418" s="1" t="s">
        <v>13</v>
      </c>
      <c r="F418" s="1" t="s">
        <v>1442</v>
      </c>
      <c r="G418" s="1">
        <v>6</v>
      </c>
      <c r="H418" s="1" t="s">
        <v>29</v>
      </c>
      <c r="I418" s="1">
        <v>0</v>
      </c>
      <c r="J418" s="1" t="s">
        <v>23</v>
      </c>
      <c r="K418" s="1">
        <v>44859</v>
      </c>
      <c r="L418" s="1" t="s">
        <v>24</v>
      </c>
      <c r="M418" s="3" t="s">
        <v>55</v>
      </c>
    </row>
    <row r="419" spans="1:13" x14ac:dyDescent="0.25">
      <c r="A419" s="2">
        <v>431759</v>
      </c>
      <c r="B419" s="1" t="s">
        <v>1441</v>
      </c>
      <c r="C419" s="1" t="s">
        <v>1206</v>
      </c>
      <c r="D419" s="1" t="s">
        <v>744</v>
      </c>
      <c r="E419" s="1" t="s">
        <v>13</v>
      </c>
      <c r="F419" s="1" t="s">
        <v>1442</v>
      </c>
      <c r="G419" s="1">
        <v>6</v>
      </c>
      <c r="H419" s="1" t="s">
        <v>29</v>
      </c>
      <c r="I419" s="1">
        <v>0</v>
      </c>
      <c r="J419" s="1" t="s">
        <v>23</v>
      </c>
      <c r="K419" s="1">
        <v>44859</v>
      </c>
      <c r="L419" s="1" t="s">
        <v>71</v>
      </c>
      <c r="M419" s="3" t="s">
        <v>55</v>
      </c>
    </row>
    <row r="420" spans="1:13" x14ac:dyDescent="0.25">
      <c r="A420" s="2">
        <v>10250</v>
      </c>
      <c r="B420" s="1" t="s">
        <v>1443</v>
      </c>
      <c r="C420" s="1" t="s">
        <v>1444</v>
      </c>
      <c r="D420" s="1" t="s">
        <v>1445</v>
      </c>
      <c r="E420" s="1" t="s">
        <v>13</v>
      </c>
      <c r="F420" s="1" t="s">
        <v>1446</v>
      </c>
      <c r="G420" s="1">
        <v>7</v>
      </c>
      <c r="H420" s="1" t="s">
        <v>29</v>
      </c>
      <c r="I420" s="1">
        <v>0</v>
      </c>
      <c r="J420" s="1" t="s">
        <v>23</v>
      </c>
      <c r="K420" s="1">
        <v>50330</v>
      </c>
      <c r="L420" s="1" t="s">
        <v>71</v>
      </c>
      <c r="M420" s="3" t="s">
        <v>18</v>
      </c>
    </row>
    <row r="421" spans="1:13" x14ac:dyDescent="0.25">
      <c r="A421" s="2">
        <v>426193</v>
      </c>
      <c r="B421" s="1" t="s">
        <v>1447</v>
      </c>
      <c r="C421" s="1" t="s">
        <v>1448</v>
      </c>
      <c r="D421" s="1" t="s">
        <v>1449</v>
      </c>
      <c r="E421" s="1" t="s">
        <v>13</v>
      </c>
      <c r="F421" s="1" t="s">
        <v>1450</v>
      </c>
      <c r="G421" s="1">
        <v>7</v>
      </c>
      <c r="H421" s="1" t="s">
        <v>29</v>
      </c>
      <c r="I421" s="1">
        <v>1</v>
      </c>
      <c r="J421" s="1" t="s">
        <v>1451</v>
      </c>
      <c r="K421" s="1">
        <v>75063</v>
      </c>
      <c r="L421" s="1" t="s">
        <v>40</v>
      </c>
      <c r="M421" s="3" t="s">
        <v>41</v>
      </c>
    </row>
    <row r="422" spans="1:13" x14ac:dyDescent="0.25">
      <c r="A422" s="2">
        <v>10251</v>
      </c>
      <c r="B422" s="1" t="s">
        <v>1452</v>
      </c>
      <c r="C422" s="1" t="s">
        <v>1453</v>
      </c>
      <c r="D422" s="1" t="s">
        <v>301</v>
      </c>
      <c r="E422" s="1" t="s">
        <v>13</v>
      </c>
      <c r="F422" s="1" t="s">
        <v>1292</v>
      </c>
      <c r="G422" s="1">
        <v>2</v>
      </c>
      <c r="H422" s="1" t="s">
        <v>29</v>
      </c>
      <c r="I422" s="1">
        <v>0</v>
      </c>
      <c r="J422" s="1" t="s">
        <v>23</v>
      </c>
      <c r="K422" s="1">
        <v>61743</v>
      </c>
      <c r="L422" s="1" t="s">
        <v>61</v>
      </c>
      <c r="M422" s="3" t="s">
        <v>41</v>
      </c>
    </row>
    <row r="423" spans="1:13" x14ac:dyDescent="0.25">
      <c r="A423" s="2">
        <v>10252</v>
      </c>
      <c r="B423" s="1" t="s">
        <v>1454</v>
      </c>
      <c r="C423" s="1" t="s">
        <v>1455</v>
      </c>
      <c r="D423" s="1" t="s">
        <v>1456</v>
      </c>
      <c r="E423" s="1" t="s">
        <v>33</v>
      </c>
      <c r="F423" s="1" t="s">
        <v>1457</v>
      </c>
      <c r="G423" s="1">
        <v>4</v>
      </c>
      <c r="H423" s="1" t="s">
        <v>29</v>
      </c>
      <c r="I423" s="1">
        <v>0</v>
      </c>
      <c r="J423" s="1" t="s">
        <v>23</v>
      </c>
      <c r="K423" s="1">
        <v>40000</v>
      </c>
      <c r="L423" s="1" t="s">
        <v>24</v>
      </c>
      <c r="M423" s="3" t="s">
        <v>18</v>
      </c>
    </row>
    <row r="424" spans="1:13" x14ac:dyDescent="0.25">
      <c r="A424" s="2">
        <v>416364</v>
      </c>
      <c r="B424" s="1" t="s">
        <v>652</v>
      </c>
      <c r="C424" s="1" t="s">
        <v>836</v>
      </c>
      <c r="D424" s="1" t="s">
        <v>1458</v>
      </c>
      <c r="E424" s="1" t="s">
        <v>13</v>
      </c>
      <c r="F424" s="1" t="s">
        <v>1459</v>
      </c>
      <c r="G424" s="1">
        <v>1</v>
      </c>
      <c r="H424" s="1" t="s">
        <v>35</v>
      </c>
      <c r="I424" s="1">
        <v>0</v>
      </c>
      <c r="J424" s="1" t="s">
        <v>23</v>
      </c>
      <c r="K424" s="1">
        <v>64980</v>
      </c>
      <c r="L424" s="1" t="s">
        <v>24</v>
      </c>
      <c r="M424" s="3" t="s">
        <v>18</v>
      </c>
    </row>
    <row r="425" spans="1:13" x14ac:dyDescent="0.25">
      <c r="A425" s="2">
        <v>416364</v>
      </c>
      <c r="B425" s="1" t="s">
        <v>652</v>
      </c>
      <c r="C425" s="1" t="s">
        <v>836</v>
      </c>
      <c r="D425" s="1" t="s">
        <v>1458</v>
      </c>
      <c r="E425" s="1" t="s">
        <v>13</v>
      </c>
      <c r="F425" s="1" t="s">
        <v>1459</v>
      </c>
      <c r="G425" s="1">
        <v>1</v>
      </c>
      <c r="H425" s="1" t="s">
        <v>35</v>
      </c>
      <c r="I425" s="1">
        <v>0</v>
      </c>
      <c r="J425" s="1" t="s">
        <v>23</v>
      </c>
      <c r="K425" s="1">
        <v>64980</v>
      </c>
      <c r="L425" s="1" t="s">
        <v>17</v>
      </c>
      <c r="M425" s="3" t="s">
        <v>18</v>
      </c>
    </row>
    <row r="426" spans="1:13" x14ac:dyDescent="0.25">
      <c r="A426" s="2">
        <v>10253</v>
      </c>
      <c r="B426" s="1" t="s">
        <v>1460</v>
      </c>
      <c r="C426" s="1" t="s">
        <v>1461</v>
      </c>
      <c r="D426" s="1" t="s">
        <v>1462</v>
      </c>
      <c r="E426" s="1" t="s">
        <v>33</v>
      </c>
      <c r="F426" s="1" t="s">
        <v>1463</v>
      </c>
      <c r="G426" s="1">
        <v>9</v>
      </c>
      <c r="H426" s="1" t="s">
        <v>370</v>
      </c>
      <c r="I426" s="1">
        <v>1</v>
      </c>
      <c r="J426" s="1" t="s">
        <v>1464</v>
      </c>
      <c r="K426" s="1">
        <v>62494</v>
      </c>
      <c r="L426" s="1" t="s">
        <v>40</v>
      </c>
      <c r="M426" s="3" t="s">
        <v>41</v>
      </c>
    </row>
    <row r="427" spans="1:13" x14ac:dyDescent="0.25">
      <c r="A427" s="2">
        <v>10254</v>
      </c>
      <c r="B427" s="1" t="s">
        <v>932</v>
      </c>
      <c r="C427" s="1" t="s">
        <v>1465</v>
      </c>
      <c r="D427" s="1" t="s">
        <v>432</v>
      </c>
      <c r="E427" s="1" t="s">
        <v>13</v>
      </c>
      <c r="F427" s="1" t="s">
        <v>1466</v>
      </c>
      <c r="G427" s="1">
        <v>5</v>
      </c>
      <c r="H427" s="1" t="s">
        <v>15</v>
      </c>
      <c r="I427" s="1">
        <v>1</v>
      </c>
      <c r="J427" s="1" t="s">
        <v>1467</v>
      </c>
      <c r="K427" s="1">
        <v>60222</v>
      </c>
      <c r="L427" s="1" t="s">
        <v>40</v>
      </c>
      <c r="M427" s="3" t="s">
        <v>41</v>
      </c>
    </row>
    <row r="428" spans="1:13" x14ac:dyDescent="0.25">
      <c r="A428" s="2">
        <v>207791</v>
      </c>
      <c r="B428" s="1" t="s">
        <v>1468</v>
      </c>
      <c r="C428" s="1" t="s">
        <v>1469</v>
      </c>
      <c r="D428" s="1" t="s">
        <v>1470</v>
      </c>
      <c r="E428" s="1" t="s">
        <v>13</v>
      </c>
      <c r="F428" s="1" t="s">
        <v>1471</v>
      </c>
      <c r="G428" s="1">
        <v>3</v>
      </c>
      <c r="H428" s="1" t="s">
        <v>29</v>
      </c>
      <c r="I428" s="1">
        <v>0</v>
      </c>
      <c r="J428" s="1" t="s">
        <v>23</v>
      </c>
      <c r="K428" s="1">
        <v>43645</v>
      </c>
      <c r="L428" s="1" t="s">
        <v>17</v>
      </c>
      <c r="M428" s="3" t="s">
        <v>55</v>
      </c>
    </row>
    <row r="429" spans="1:13" x14ac:dyDescent="0.25">
      <c r="A429" s="2">
        <v>10255</v>
      </c>
      <c r="B429" s="1" t="s">
        <v>1472</v>
      </c>
      <c r="C429" s="1" t="s">
        <v>230</v>
      </c>
      <c r="D429" s="1" t="s">
        <v>1473</v>
      </c>
      <c r="E429" s="1" t="s">
        <v>13</v>
      </c>
      <c r="F429" s="1" t="s">
        <v>1474</v>
      </c>
      <c r="G429" s="1">
        <v>9</v>
      </c>
      <c r="H429" s="1" t="s">
        <v>29</v>
      </c>
      <c r="I429" s="1">
        <v>0</v>
      </c>
      <c r="J429" s="1" t="s">
        <v>23</v>
      </c>
      <c r="K429" s="1">
        <v>63822</v>
      </c>
      <c r="L429" s="1" t="s">
        <v>24</v>
      </c>
      <c r="M429" s="3" t="s">
        <v>18</v>
      </c>
    </row>
    <row r="430" spans="1:13" x14ac:dyDescent="0.25">
      <c r="A430" s="2">
        <v>10256</v>
      </c>
      <c r="B430" s="1" t="s">
        <v>1475</v>
      </c>
      <c r="C430" s="1" t="s">
        <v>1431</v>
      </c>
      <c r="D430" s="1" t="s">
        <v>1476</v>
      </c>
      <c r="E430" s="1" t="s">
        <v>13</v>
      </c>
      <c r="F430" s="1" t="s">
        <v>1477</v>
      </c>
      <c r="G430" s="1">
        <v>5</v>
      </c>
      <c r="H430" s="1" t="s">
        <v>15</v>
      </c>
      <c r="I430" s="1">
        <v>0</v>
      </c>
      <c r="J430" s="1" t="s">
        <v>23</v>
      </c>
      <c r="K430" s="1">
        <v>71305</v>
      </c>
      <c r="L430" s="1" t="s">
        <v>40</v>
      </c>
      <c r="M430" s="3" t="s">
        <v>41</v>
      </c>
    </row>
    <row r="431" spans="1:13" x14ac:dyDescent="0.25">
      <c r="A431" s="2">
        <v>277176</v>
      </c>
      <c r="B431" s="1" t="s">
        <v>1478</v>
      </c>
      <c r="C431" s="1" t="s">
        <v>43</v>
      </c>
      <c r="D431" s="1" t="s">
        <v>38</v>
      </c>
      <c r="E431" s="1" t="s">
        <v>13</v>
      </c>
      <c r="F431" s="1" t="s">
        <v>1479</v>
      </c>
      <c r="G431" s="1">
        <v>2</v>
      </c>
      <c r="H431" s="1" t="s">
        <v>29</v>
      </c>
      <c r="I431" s="1">
        <v>0</v>
      </c>
      <c r="J431" s="1" t="s">
        <v>23</v>
      </c>
      <c r="K431" s="1">
        <v>57027</v>
      </c>
      <c r="L431" s="1" t="s">
        <v>61</v>
      </c>
      <c r="M431" s="3" t="s">
        <v>41</v>
      </c>
    </row>
    <row r="432" spans="1:13" x14ac:dyDescent="0.25">
      <c r="A432" s="2">
        <v>10257</v>
      </c>
      <c r="B432" s="1" t="s">
        <v>1480</v>
      </c>
      <c r="C432" s="1" t="s">
        <v>1481</v>
      </c>
      <c r="D432" s="1" t="s">
        <v>1482</v>
      </c>
      <c r="E432" s="1" t="s">
        <v>13</v>
      </c>
      <c r="F432" s="1" t="s">
        <v>1483</v>
      </c>
      <c r="G432" s="1">
        <v>3</v>
      </c>
      <c r="H432" s="1" t="s">
        <v>35</v>
      </c>
      <c r="I432" s="1">
        <v>0</v>
      </c>
      <c r="J432" s="1" t="s">
        <v>23</v>
      </c>
      <c r="K432" s="1">
        <v>40000</v>
      </c>
      <c r="L432" s="1" t="s">
        <v>24</v>
      </c>
      <c r="M432" s="3" t="s">
        <v>156</v>
      </c>
    </row>
    <row r="433" spans="1:13" x14ac:dyDescent="0.25">
      <c r="A433" s="2">
        <v>10258</v>
      </c>
      <c r="B433" s="1" t="s">
        <v>1484</v>
      </c>
      <c r="C433" s="1" t="s">
        <v>320</v>
      </c>
      <c r="D433" s="1" t="s">
        <v>864</v>
      </c>
      <c r="E433" s="1" t="s">
        <v>33</v>
      </c>
      <c r="F433" s="1" t="s">
        <v>1485</v>
      </c>
      <c r="G433" s="1">
        <v>8</v>
      </c>
      <c r="H433" s="1" t="s">
        <v>35</v>
      </c>
      <c r="I433" s="1">
        <v>0</v>
      </c>
      <c r="J433" s="1" t="s">
        <v>23</v>
      </c>
      <c r="K433" s="1">
        <v>66280</v>
      </c>
      <c r="L433" s="1" t="s">
        <v>17</v>
      </c>
      <c r="M433" s="3" t="s">
        <v>18</v>
      </c>
    </row>
    <row r="434" spans="1:13" x14ac:dyDescent="0.25">
      <c r="A434" s="2">
        <v>22638</v>
      </c>
      <c r="B434" s="1" t="s">
        <v>1486</v>
      </c>
      <c r="C434" s="1" t="s">
        <v>1487</v>
      </c>
      <c r="D434" s="1" t="s">
        <v>1488</v>
      </c>
      <c r="E434" s="1" t="s">
        <v>33</v>
      </c>
      <c r="F434" s="1" t="s">
        <v>1489</v>
      </c>
      <c r="G434" s="1">
        <v>9</v>
      </c>
      <c r="H434" s="1" t="s">
        <v>15</v>
      </c>
      <c r="I434" s="1">
        <v>0</v>
      </c>
      <c r="J434" s="1" t="s">
        <v>23</v>
      </c>
      <c r="K434" s="1">
        <v>68821</v>
      </c>
      <c r="L434" s="1" t="s">
        <v>17</v>
      </c>
      <c r="M434" s="3" t="s">
        <v>156</v>
      </c>
    </row>
    <row r="435" spans="1:13" x14ac:dyDescent="0.25">
      <c r="A435" s="2">
        <v>10259</v>
      </c>
      <c r="B435" s="1" t="s">
        <v>1490</v>
      </c>
      <c r="C435" s="1" t="s">
        <v>1491</v>
      </c>
      <c r="D435" s="1" t="s">
        <v>1492</v>
      </c>
      <c r="E435" s="1" t="s">
        <v>13</v>
      </c>
      <c r="F435" s="1" t="s">
        <v>1493</v>
      </c>
      <c r="G435" s="1">
        <v>1</v>
      </c>
      <c r="H435" s="1" t="s">
        <v>29</v>
      </c>
      <c r="I435" s="1">
        <v>0</v>
      </c>
      <c r="J435" s="1" t="s">
        <v>23</v>
      </c>
      <c r="K435" s="1">
        <v>88991</v>
      </c>
      <c r="L435" s="1" t="s">
        <v>125</v>
      </c>
      <c r="M435" s="3" t="s">
        <v>41</v>
      </c>
    </row>
    <row r="436" spans="1:13" x14ac:dyDescent="0.25">
      <c r="A436" s="2">
        <v>10259</v>
      </c>
      <c r="B436" s="1" t="s">
        <v>1490</v>
      </c>
      <c r="C436" s="1" t="s">
        <v>1491</v>
      </c>
      <c r="D436" s="1" t="s">
        <v>1492</v>
      </c>
      <c r="E436" s="1" t="s">
        <v>13</v>
      </c>
      <c r="F436" s="1" t="s">
        <v>1493</v>
      </c>
      <c r="G436" s="1">
        <v>1</v>
      </c>
      <c r="H436" s="1" t="s">
        <v>29</v>
      </c>
      <c r="I436" s="1">
        <v>0</v>
      </c>
      <c r="J436" s="1" t="s">
        <v>23</v>
      </c>
      <c r="K436" s="1">
        <v>88991</v>
      </c>
      <c r="L436" s="1" t="s">
        <v>89</v>
      </c>
      <c r="M436" s="3" t="s">
        <v>41</v>
      </c>
    </row>
    <row r="437" spans="1:13" x14ac:dyDescent="0.25">
      <c r="A437" s="2">
        <v>205714</v>
      </c>
      <c r="B437" s="1" t="s">
        <v>1494</v>
      </c>
      <c r="C437" s="1" t="s">
        <v>1495</v>
      </c>
      <c r="D437" s="1" t="s">
        <v>1222</v>
      </c>
      <c r="E437" s="1" t="s">
        <v>13</v>
      </c>
      <c r="F437" s="1" t="s">
        <v>1496</v>
      </c>
      <c r="G437" s="1">
        <v>1</v>
      </c>
      <c r="H437" s="1" t="s">
        <v>35</v>
      </c>
      <c r="I437" s="1">
        <v>0</v>
      </c>
      <c r="J437" s="1" t="s">
        <v>23</v>
      </c>
      <c r="K437" s="1">
        <v>51903</v>
      </c>
      <c r="L437" s="1" t="s">
        <v>17</v>
      </c>
      <c r="M437" s="3" t="s">
        <v>18</v>
      </c>
    </row>
    <row r="438" spans="1:13" x14ac:dyDescent="0.25">
      <c r="A438" s="2">
        <v>10260</v>
      </c>
      <c r="B438" s="1" t="s">
        <v>1497</v>
      </c>
      <c r="C438" s="1" t="s">
        <v>1498</v>
      </c>
      <c r="D438" s="1" t="s">
        <v>1499</v>
      </c>
      <c r="E438" s="1" t="s">
        <v>33</v>
      </c>
      <c r="F438" s="1" t="s">
        <v>1500</v>
      </c>
      <c r="G438" s="1">
        <v>10</v>
      </c>
      <c r="H438" s="1" t="s">
        <v>138</v>
      </c>
      <c r="I438" s="1">
        <v>0</v>
      </c>
      <c r="J438" s="1" t="s">
        <v>23</v>
      </c>
      <c r="K438" s="1">
        <v>60879</v>
      </c>
      <c r="L438" s="1" t="s">
        <v>24</v>
      </c>
      <c r="M438" s="3" t="s">
        <v>18</v>
      </c>
    </row>
    <row r="439" spans="1:13" x14ac:dyDescent="0.25">
      <c r="A439" s="2">
        <v>10261</v>
      </c>
      <c r="B439" s="1" t="s">
        <v>495</v>
      </c>
      <c r="C439" s="1" t="s">
        <v>1501</v>
      </c>
      <c r="D439" s="1" t="s">
        <v>1502</v>
      </c>
      <c r="E439" s="1" t="s">
        <v>13</v>
      </c>
      <c r="F439" s="1" t="s">
        <v>1503</v>
      </c>
      <c r="G439" s="1">
        <v>4</v>
      </c>
      <c r="H439" s="1" t="s">
        <v>15</v>
      </c>
      <c r="I439" s="1">
        <v>0</v>
      </c>
      <c r="J439" s="1" t="s">
        <v>23</v>
      </c>
      <c r="K439" s="1">
        <v>40000</v>
      </c>
      <c r="L439" s="1" t="s">
        <v>17</v>
      </c>
      <c r="M439" s="3" t="s">
        <v>18</v>
      </c>
    </row>
    <row r="440" spans="1:13" x14ac:dyDescent="0.25">
      <c r="A440" s="2">
        <v>218042</v>
      </c>
      <c r="B440" s="1" t="s">
        <v>1045</v>
      </c>
      <c r="C440" s="1" t="s">
        <v>1010</v>
      </c>
      <c r="D440" s="1" t="s">
        <v>1504</v>
      </c>
      <c r="E440" s="1" t="s">
        <v>13</v>
      </c>
      <c r="F440" s="1" t="s">
        <v>1505</v>
      </c>
      <c r="G440" s="1">
        <v>1</v>
      </c>
      <c r="H440" s="1" t="s">
        <v>29</v>
      </c>
      <c r="I440" s="1">
        <v>0</v>
      </c>
      <c r="J440" s="1" t="s">
        <v>23</v>
      </c>
      <c r="K440" s="1">
        <v>74213</v>
      </c>
      <c r="L440" s="1" t="s">
        <v>108</v>
      </c>
      <c r="M440" s="3" t="s">
        <v>41</v>
      </c>
    </row>
    <row r="441" spans="1:13" x14ac:dyDescent="0.25">
      <c r="A441" s="2">
        <v>10262</v>
      </c>
      <c r="B441" s="1" t="s">
        <v>1506</v>
      </c>
      <c r="C441" s="1" t="s">
        <v>1507</v>
      </c>
      <c r="D441" s="1" t="s">
        <v>1508</v>
      </c>
      <c r="E441" s="1" t="s">
        <v>33</v>
      </c>
      <c r="F441" s="1" t="s">
        <v>1509</v>
      </c>
      <c r="G441" s="1">
        <v>5</v>
      </c>
      <c r="H441" s="1" t="s">
        <v>29</v>
      </c>
      <c r="I441" s="1">
        <v>1</v>
      </c>
      <c r="J441" s="1" t="s">
        <v>1510</v>
      </c>
      <c r="K441" s="1">
        <v>63005</v>
      </c>
      <c r="L441" s="1" t="s">
        <v>40</v>
      </c>
      <c r="M441" s="3" t="s">
        <v>41</v>
      </c>
    </row>
    <row r="442" spans="1:13" x14ac:dyDescent="0.25">
      <c r="A442" s="2">
        <v>10263</v>
      </c>
      <c r="B442" s="1" t="s">
        <v>1511</v>
      </c>
      <c r="C442" s="1" t="s">
        <v>1512</v>
      </c>
      <c r="D442" s="1" t="s">
        <v>1513</v>
      </c>
      <c r="E442" s="1" t="s">
        <v>13</v>
      </c>
      <c r="F442" s="1" t="s">
        <v>1514</v>
      </c>
      <c r="G442" s="1">
        <v>7</v>
      </c>
      <c r="H442" s="1" t="s">
        <v>29</v>
      </c>
      <c r="I442" s="1">
        <v>0</v>
      </c>
      <c r="J442" s="1" t="s">
        <v>23</v>
      </c>
      <c r="K442" s="1">
        <v>67883</v>
      </c>
      <c r="L442" s="1" t="s">
        <v>108</v>
      </c>
      <c r="M442" s="3" t="s">
        <v>41</v>
      </c>
    </row>
    <row r="443" spans="1:13" x14ac:dyDescent="0.25">
      <c r="A443" s="2">
        <v>36965</v>
      </c>
      <c r="B443" s="1" t="s">
        <v>426</v>
      </c>
      <c r="C443" s="1" t="s">
        <v>1515</v>
      </c>
      <c r="D443" s="1" t="s">
        <v>1516</v>
      </c>
      <c r="E443" s="1" t="s">
        <v>13</v>
      </c>
      <c r="F443" s="1" t="s">
        <v>1517</v>
      </c>
      <c r="G443" s="1">
        <v>2</v>
      </c>
      <c r="H443" s="1" t="s">
        <v>35</v>
      </c>
      <c r="I443" s="1">
        <v>1</v>
      </c>
      <c r="J443" s="1" t="s">
        <v>1518</v>
      </c>
      <c r="K443" s="1">
        <v>51883</v>
      </c>
      <c r="L443" s="1" t="s">
        <v>17</v>
      </c>
      <c r="M443" s="3" t="s">
        <v>18</v>
      </c>
    </row>
    <row r="444" spans="1:13" x14ac:dyDescent="0.25">
      <c r="A444" s="2">
        <v>10264</v>
      </c>
      <c r="B444" s="1" t="s">
        <v>1519</v>
      </c>
      <c r="C444" s="1" t="s">
        <v>1520</v>
      </c>
      <c r="D444" s="1" t="s">
        <v>1521</v>
      </c>
      <c r="E444" s="1" t="s">
        <v>33</v>
      </c>
      <c r="F444" s="1" t="s">
        <v>1522</v>
      </c>
      <c r="G444" s="1">
        <v>6</v>
      </c>
      <c r="H444" s="1" t="s">
        <v>29</v>
      </c>
      <c r="I444" s="1">
        <v>0</v>
      </c>
      <c r="J444" s="1" t="s">
        <v>23</v>
      </c>
      <c r="K444" s="1">
        <v>60522</v>
      </c>
      <c r="L444" s="1" t="s">
        <v>17</v>
      </c>
      <c r="M444" s="3" t="s">
        <v>55</v>
      </c>
    </row>
    <row r="445" spans="1:13" x14ac:dyDescent="0.25">
      <c r="A445" s="2">
        <v>10265</v>
      </c>
      <c r="B445" s="1" t="s">
        <v>733</v>
      </c>
      <c r="C445" s="1" t="s">
        <v>1416</v>
      </c>
      <c r="D445" s="1" t="s">
        <v>1523</v>
      </c>
      <c r="E445" s="1" t="s">
        <v>13</v>
      </c>
      <c r="F445" s="1" t="s">
        <v>1524</v>
      </c>
      <c r="G445" s="1">
        <v>5</v>
      </c>
      <c r="H445" s="1" t="s">
        <v>15</v>
      </c>
      <c r="I445" s="1">
        <v>0</v>
      </c>
      <c r="J445" s="1" t="s">
        <v>23</v>
      </c>
      <c r="K445" s="1">
        <v>46382</v>
      </c>
      <c r="L445" s="1" t="s">
        <v>71</v>
      </c>
      <c r="M445" s="3" t="s">
        <v>18</v>
      </c>
    </row>
    <row r="446" spans="1:13" x14ac:dyDescent="0.25">
      <c r="A446" s="2">
        <v>218058</v>
      </c>
      <c r="B446" s="1" t="s">
        <v>1525</v>
      </c>
      <c r="C446" s="1" t="s">
        <v>1481</v>
      </c>
      <c r="D446" s="1" t="s">
        <v>1526</v>
      </c>
      <c r="E446" s="1" t="s">
        <v>13</v>
      </c>
      <c r="F446" s="1" t="s">
        <v>1527</v>
      </c>
      <c r="G446" s="1">
        <v>1</v>
      </c>
      <c r="H446" s="1" t="s">
        <v>29</v>
      </c>
      <c r="I446" s="1">
        <v>0</v>
      </c>
      <c r="J446" s="1" t="s">
        <v>23</v>
      </c>
      <c r="K446" s="1">
        <v>67484</v>
      </c>
      <c r="L446" s="1" t="s">
        <v>125</v>
      </c>
      <c r="M446" s="3" t="s">
        <v>102</v>
      </c>
    </row>
    <row r="447" spans="1:13" x14ac:dyDescent="0.25">
      <c r="A447" s="2">
        <v>10266</v>
      </c>
      <c r="B447" s="1" t="s">
        <v>1528</v>
      </c>
      <c r="C447" s="1" t="s">
        <v>1529</v>
      </c>
      <c r="D447" s="1" t="s">
        <v>1003</v>
      </c>
      <c r="E447" s="1" t="s">
        <v>13</v>
      </c>
      <c r="F447" s="1" t="s">
        <v>1530</v>
      </c>
      <c r="G447" s="1">
        <v>7</v>
      </c>
      <c r="H447" s="1" t="s">
        <v>35</v>
      </c>
      <c r="I447" s="1">
        <v>0</v>
      </c>
      <c r="J447" s="1" t="s">
        <v>23</v>
      </c>
      <c r="K447" s="1">
        <v>47093</v>
      </c>
      <c r="L447" s="1" t="s">
        <v>24</v>
      </c>
      <c r="M447" s="3" t="s">
        <v>18</v>
      </c>
    </row>
    <row r="448" spans="1:13" x14ac:dyDescent="0.25">
      <c r="A448" s="2">
        <v>10267</v>
      </c>
      <c r="B448" s="1" t="s">
        <v>1531</v>
      </c>
      <c r="C448" s="1" t="s">
        <v>447</v>
      </c>
      <c r="D448" s="1" t="s">
        <v>1532</v>
      </c>
      <c r="E448" s="1" t="s">
        <v>13</v>
      </c>
      <c r="F448" s="1" t="s">
        <v>1533</v>
      </c>
      <c r="G448" s="1">
        <v>1</v>
      </c>
      <c r="H448" s="1" t="s">
        <v>35</v>
      </c>
      <c r="I448" s="1">
        <v>0</v>
      </c>
      <c r="J448" s="1" t="s">
        <v>23</v>
      </c>
      <c r="K448" s="1">
        <v>40000</v>
      </c>
      <c r="L448" s="1" t="s">
        <v>24</v>
      </c>
      <c r="M448" s="3" t="s">
        <v>55</v>
      </c>
    </row>
    <row r="449" spans="1:13" x14ac:dyDescent="0.25">
      <c r="A449" s="2">
        <v>10966</v>
      </c>
      <c r="B449" s="1" t="s">
        <v>1534</v>
      </c>
      <c r="C449" s="1" t="s">
        <v>496</v>
      </c>
      <c r="D449" s="1" t="s">
        <v>1535</v>
      </c>
      <c r="E449" s="1" t="s">
        <v>13</v>
      </c>
      <c r="F449" s="1" t="s">
        <v>1536</v>
      </c>
      <c r="G449" s="1">
        <v>5</v>
      </c>
      <c r="H449" s="1" t="s">
        <v>35</v>
      </c>
      <c r="I449" s="1">
        <v>0</v>
      </c>
      <c r="J449" s="1" t="s">
        <v>23</v>
      </c>
      <c r="K449" s="1">
        <v>70464</v>
      </c>
      <c r="L449" s="1" t="s">
        <v>24</v>
      </c>
      <c r="M449" s="3" t="s">
        <v>41</v>
      </c>
    </row>
    <row r="450" spans="1:13" x14ac:dyDescent="0.25">
      <c r="A450" s="2">
        <v>10966</v>
      </c>
      <c r="B450" s="1" t="s">
        <v>1534</v>
      </c>
      <c r="C450" s="1" t="s">
        <v>496</v>
      </c>
      <c r="D450" s="1" t="s">
        <v>1535</v>
      </c>
      <c r="E450" s="1" t="s">
        <v>13</v>
      </c>
      <c r="F450" s="1" t="s">
        <v>1536</v>
      </c>
      <c r="G450" s="1">
        <v>5</v>
      </c>
      <c r="H450" s="1" t="s">
        <v>35</v>
      </c>
      <c r="I450" s="1">
        <v>0</v>
      </c>
      <c r="J450" s="1" t="s">
        <v>23</v>
      </c>
      <c r="K450" s="1">
        <v>70464</v>
      </c>
      <c r="L450" s="1" t="s">
        <v>61</v>
      </c>
      <c r="M450" s="3" t="s">
        <v>41</v>
      </c>
    </row>
    <row r="451" spans="1:13" x14ac:dyDescent="0.25">
      <c r="A451" s="2">
        <v>10268</v>
      </c>
      <c r="B451" s="1" t="s">
        <v>1537</v>
      </c>
      <c r="C451" s="1" t="s">
        <v>800</v>
      </c>
      <c r="D451" s="1" t="s">
        <v>1538</v>
      </c>
      <c r="E451" s="1" t="s">
        <v>13</v>
      </c>
      <c r="F451" s="1" t="s">
        <v>1539</v>
      </c>
      <c r="G451" s="1">
        <v>4</v>
      </c>
      <c r="H451" s="1" t="s">
        <v>35</v>
      </c>
      <c r="I451" s="1">
        <v>1</v>
      </c>
      <c r="J451" s="1" t="s">
        <v>1540</v>
      </c>
      <c r="K451" s="1">
        <v>41017</v>
      </c>
      <c r="L451" s="1" t="s">
        <v>24</v>
      </c>
      <c r="M451" s="3" t="s">
        <v>55</v>
      </c>
    </row>
    <row r="452" spans="1:13" x14ac:dyDescent="0.25">
      <c r="A452" s="2">
        <v>10268</v>
      </c>
      <c r="B452" s="1" t="s">
        <v>1537</v>
      </c>
      <c r="C452" s="1" t="s">
        <v>800</v>
      </c>
      <c r="D452" s="1" t="s">
        <v>1538</v>
      </c>
      <c r="E452" s="1" t="s">
        <v>13</v>
      </c>
      <c r="F452" s="1" t="s">
        <v>1539</v>
      </c>
      <c r="G452" s="1">
        <v>4</v>
      </c>
      <c r="H452" s="1" t="s">
        <v>35</v>
      </c>
      <c r="I452" s="1">
        <v>1</v>
      </c>
      <c r="J452" s="1" t="s">
        <v>1540</v>
      </c>
      <c r="K452" s="1">
        <v>41017</v>
      </c>
      <c r="L452" s="1" t="s">
        <v>17</v>
      </c>
      <c r="M452" s="3" t="s">
        <v>55</v>
      </c>
    </row>
    <row r="453" spans="1:13" x14ac:dyDescent="0.25">
      <c r="A453" s="2">
        <v>423740</v>
      </c>
      <c r="B453" s="1" t="s">
        <v>1541</v>
      </c>
      <c r="C453" s="1" t="s">
        <v>1542</v>
      </c>
      <c r="D453" s="1" t="s">
        <v>1543</v>
      </c>
      <c r="E453" s="1" t="s">
        <v>33</v>
      </c>
      <c r="F453" s="1" t="s">
        <v>1544</v>
      </c>
      <c r="G453" s="1">
        <v>3</v>
      </c>
      <c r="H453" s="1" t="s">
        <v>29</v>
      </c>
      <c r="I453" s="1">
        <v>0</v>
      </c>
      <c r="J453" s="1" t="s">
        <v>23</v>
      </c>
      <c r="K453" s="1">
        <v>46599</v>
      </c>
      <c r="L453" s="1" t="s">
        <v>17</v>
      </c>
      <c r="M453" s="3" t="s">
        <v>18</v>
      </c>
    </row>
    <row r="454" spans="1:13" x14ac:dyDescent="0.25">
      <c r="A454" s="2">
        <v>10269</v>
      </c>
      <c r="B454" s="1" t="s">
        <v>1545</v>
      </c>
      <c r="C454" s="1" t="s">
        <v>1546</v>
      </c>
      <c r="D454" s="1" t="s">
        <v>1547</v>
      </c>
      <c r="E454" s="1" t="s">
        <v>33</v>
      </c>
      <c r="F454" s="1" t="s">
        <v>1548</v>
      </c>
      <c r="G454" s="1">
        <v>3</v>
      </c>
      <c r="H454" s="1" t="s">
        <v>29</v>
      </c>
      <c r="I454" s="1">
        <v>0</v>
      </c>
      <c r="J454" s="1" t="s">
        <v>23</v>
      </c>
      <c r="K454" s="1">
        <v>40000</v>
      </c>
      <c r="L454" s="1" t="s">
        <v>24</v>
      </c>
      <c r="M454" s="3" t="s">
        <v>18</v>
      </c>
    </row>
    <row r="455" spans="1:13" x14ac:dyDescent="0.25">
      <c r="A455" s="2">
        <v>10270</v>
      </c>
      <c r="B455" s="1" t="s">
        <v>1549</v>
      </c>
      <c r="C455" s="1" t="s">
        <v>1550</v>
      </c>
      <c r="D455" s="1" t="s">
        <v>1551</v>
      </c>
      <c r="E455" s="1" t="s">
        <v>33</v>
      </c>
      <c r="F455" s="1" t="s">
        <v>1552</v>
      </c>
      <c r="G455" s="1">
        <v>2</v>
      </c>
      <c r="H455" s="1" t="s">
        <v>29</v>
      </c>
      <c r="I455" s="1">
        <v>0</v>
      </c>
      <c r="J455" s="1" t="s">
        <v>23</v>
      </c>
      <c r="K455" s="1">
        <v>42081</v>
      </c>
      <c r="L455" s="1" t="s">
        <v>40</v>
      </c>
      <c r="M455" s="3" t="s">
        <v>41</v>
      </c>
    </row>
    <row r="456" spans="1:13" x14ac:dyDescent="0.25">
      <c r="A456" s="2">
        <v>468180</v>
      </c>
      <c r="B456" s="1" t="s">
        <v>1553</v>
      </c>
      <c r="C456" s="1" t="s">
        <v>1320</v>
      </c>
      <c r="D456" s="1" t="s">
        <v>1554</v>
      </c>
      <c r="E456" s="1" t="s">
        <v>13</v>
      </c>
      <c r="F456" s="1" t="s">
        <v>1555</v>
      </c>
      <c r="G456" s="1">
        <v>7</v>
      </c>
      <c r="H456" s="1" t="s">
        <v>35</v>
      </c>
      <c r="I456" s="1">
        <v>0</v>
      </c>
      <c r="J456" s="1" t="s">
        <v>23</v>
      </c>
      <c r="K456" s="1">
        <v>59348</v>
      </c>
      <c r="L456" s="1" t="s">
        <v>89</v>
      </c>
      <c r="M456" s="3" t="s">
        <v>41</v>
      </c>
    </row>
    <row r="457" spans="1:13" x14ac:dyDescent="0.25">
      <c r="A457" s="2">
        <v>10271</v>
      </c>
      <c r="B457" s="1" t="s">
        <v>1556</v>
      </c>
      <c r="C457" s="1" t="s">
        <v>1557</v>
      </c>
      <c r="D457" s="1" t="s">
        <v>1558</v>
      </c>
      <c r="E457" s="1" t="s">
        <v>13</v>
      </c>
      <c r="F457" s="1" t="s">
        <v>1559</v>
      </c>
      <c r="G457" s="1">
        <v>6</v>
      </c>
      <c r="H457" s="1" t="s">
        <v>29</v>
      </c>
      <c r="I457" s="1">
        <v>0</v>
      </c>
      <c r="J457" s="1" t="s">
        <v>23</v>
      </c>
      <c r="K457" s="1">
        <v>53680</v>
      </c>
      <c r="L457" s="1" t="s">
        <v>17</v>
      </c>
      <c r="M457" s="3" t="s">
        <v>18</v>
      </c>
    </row>
    <row r="458" spans="1:13" x14ac:dyDescent="0.25">
      <c r="A458" s="2">
        <v>10272</v>
      </c>
      <c r="B458" s="1" t="s">
        <v>1560</v>
      </c>
      <c r="C458" s="1" t="s">
        <v>1561</v>
      </c>
      <c r="D458" s="1" t="s">
        <v>1562</v>
      </c>
      <c r="E458" s="1" t="s">
        <v>13</v>
      </c>
      <c r="F458" s="1" t="s">
        <v>1563</v>
      </c>
      <c r="G458" s="1">
        <v>4</v>
      </c>
      <c r="H458" s="1" t="s">
        <v>29</v>
      </c>
      <c r="I458" s="1">
        <v>0</v>
      </c>
      <c r="J458" s="1" t="s">
        <v>23</v>
      </c>
      <c r="K458" s="1">
        <v>58070</v>
      </c>
      <c r="L458" s="1" t="s">
        <v>108</v>
      </c>
      <c r="M458" s="3" t="s">
        <v>41</v>
      </c>
    </row>
    <row r="459" spans="1:13" x14ac:dyDescent="0.25">
      <c r="A459" s="2">
        <v>207996</v>
      </c>
      <c r="B459" s="1" t="s">
        <v>1564</v>
      </c>
      <c r="C459" s="1" t="s">
        <v>1565</v>
      </c>
      <c r="D459" s="1" t="s">
        <v>764</v>
      </c>
      <c r="E459" s="1" t="s">
        <v>33</v>
      </c>
      <c r="F459" s="1" t="s">
        <v>961</v>
      </c>
      <c r="G459" s="1">
        <v>4</v>
      </c>
      <c r="H459" s="1" t="s">
        <v>15</v>
      </c>
      <c r="I459" s="1">
        <v>1</v>
      </c>
      <c r="J459" s="1" t="s">
        <v>1566</v>
      </c>
      <c r="K459" s="1">
        <v>63332</v>
      </c>
      <c r="L459" s="1" t="s">
        <v>108</v>
      </c>
      <c r="M459" s="3" t="s">
        <v>41</v>
      </c>
    </row>
    <row r="460" spans="1:13" x14ac:dyDescent="0.25">
      <c r="A460" s="2">
        <v>10273</v>
      </c>
      <c r="B460" s="1" t="s">
        <v>1567</v>
      </c>
      <c r="C460" s="1" t="s">
        <v>1568</v>
      </c>
      <c r="D460" s="1" t="s">
        <v>1569</v>
      </c>
      <c r="E460" s="1" t="s">
        <v>13</v>
      </c>
      <c r="F460" s="1" t="s">
        <v>1570</v>
      </c>
      <c r="G460" s="1">
        <v>1</v>
      </c>
      <c r="H460" s="1" t="s">
        <v>35</v>
      </c>
      <c r="I460" s="1">
        <v>0</v>
      </c>
      <c r="J460" s="1" t="s">
        <v>23</v>
      </c>
      <c r="K460" s="1">
        <v>75148</v>
      </c>
      <c r="L460" s="1" t="s">
        <v>40</v>
      </c>
      <c r="M460" s="3" t="s">
        <v>41</v>
      </c>
    </row>
    <row r="461" spans="1:13" x14ac:dyDescent="0.25">
      <c r="A461" s="2">
        <v>10274</v>
      </c>
      <c r="B461" s="1" t="s">
        <v>1571</v>
      </c>
      <c r="C461" s="1" t="s">
        <v>1572</v>
      </c>
      <c r="D461" s="1" t="s">
        <v>1573</v>
      </c>
      <c r="E461" s="1" t="s">
        <v>33</v>
      </c>
      <c r="F461" s="1" t="s">
        <v>1574</v>
      </c>
      <c r="G461" s="1">
        <v>7</v>
      </c>
      <c r="H461" s="1" t="s">
        <v>29</v>
      </c>
      <c r="I461" s="1">
        <v>0</v>
      </c>
      <c r="J461" s="1" t="s">
        <v>23</v>
      </c>
      <c r="K461" s="1">
        <v>86164</v>
      </c>
      <c r="L461" s="1" t="s">
        <v>17</v>
      </c>
      <c r="M461" s="3" t="s">
        <v>55</v>
      </c>
    </row>
    <row r="462" spans="1:13" x14ac:dyDescent="0.25">
      <c r="A462" s="2">
        <v>286451</v>
      </c>
      <c r="B462" s="1" t="s">
        <v>1575</v>
      </c>
      <c r="C462" s="1" t="s">
        <v>135</v>
      </c>
      <c r="D462" s="1" t="s">
        <v>1576</v>
      </c>
      <c r="E462" s="1" t="s">
        <v>13</v>
      </c>
      <c r="F462" s="1" t="s">
        <v>1305</v>
      </c>
      <c r="G462" s="1">
        <v>3</v>
      </c>
      <c r="H462" s="1" t="s">
        <v>35</v>
      </c>
      <c r="I462" s="1">
        <v>0</v>
      </c>
      <c r="J462" s="1" t="s">
        <v>23</v>
      </c>
      <c r="K462" s="1">
        <v>40000</v>
      </c>
      <c r="L462" s="1" t="s">
        <v>24</v>
      </c>
      <c r="M462" s="3" t="s">
        <v>18</v>
      </c>
    </row>
    <row r="463" spans="1:13" x14ac:dyDescent="0.25">
      <c r="A463" s="2">
        <v>10275</v>
      </c>
      <c r="B463" s="1" t="s">
        <v>1577</v>
      </c>
      <c r="C463" s="1" t="s">
        <v>1578</v>
      </c>
      <c r="D463" s="1" t="s">
        <v>1579</v>
      </c>
      <c r="E463" s="1" t="s">
        <v>33</v>
      </c>
      <c r="F463" s="1" t="s">
        <v>1580</v>
      </c>
      <c r="G463" s="1">
        <v>5</v>
      </c>
      <c r="H463" s="1" t="s">
        <v>370</v>
      </c>
      <c r="I463" s="1">
        <v>1</v>
      </c>
      <c r="J463" s="1" t="s">
        <v>1581</v>
      </c>
      <c r="K463" s="1">
        <v>40000</v>
      </c>
      <c r="L463" s="1" t="s">
        <v>17</v>
      </c>
      <c r="M463" s="3" t="s">
        <v>18</v>
      </c>
    </row>
    <row r="464" spans="1:13" x14ac:dyDescent="0.25">
      <c r="A464" s="2">
        <v>10276</v>
      </c>
      <c r="B464" s="1" t="s">
        <v>1582</v>
      </c>
      <c r="C464" s="1" t="s">
        <v>1194</v>
      </c>
      <c r="D464" s="1" t="s">
        <v>1583</v>
      </c>
      <c r="E464" s="1" t="s">
        <v>13</v>
      </c>
      <c r="F464" s="1" t="s">
        <v>1584</v>
      </c>
      <c r="G464" s="1">
        <v>7</v>
      </c>
      <c r="H464" s="1" t="s">
        <v>138</v>
      </c>
      <c r="I464" s="1">
        <v>0</v>
      </c>
      <c r="J464" s="1" t="s">
        <v>23</v>
      </c>
      <c r="K464" s="1">
        <v>40000</v>
      </c>
      <c r="L464" s="1" t="s">
        <v>17</v>
      </c>
      <c r="M464" s="3" t="s">
        <v>18</v>
      </c>
    </row>
    <row r="465" spans="1:13" x14ac:dyDescent="0.25">
      <c r="A465" s="2">
        <v>30871</v>
      </c>
      <c r="B465" s="1" t="s">
        <v>1585</v>
      </c>
      <c r="C465" s="1" t="s">
        <v>1586</v>
      </c>
      <c r="D465" s="1" t="s">
        <v>1587</v>
      </c>
      <c r="E465" s="1" t="s">
        <v>13</v>
      </c>
      <c r="F465" s="1" t="s">
        <v>1588</v>
      </c>
      <c r="G465" s="1">
        <v>1</v>
      </c>
      <c r="H465" s="1" t="s">
        <v>29</v>
      </c>
      <c r="I465" s="1">
        <v>0</v>
      </c>
      <c r="J465" s="1" t="s">
        <v>23</v>
      </c>
      <c r="K465" s="1">
        <v>40000</v>
      </c>
      <c r="L465" s="1" t="s">
        <v>24</v>
      </c>
      <c r="M465" s="3" t="s">
        <v>156</v>
      </c>
    </row>
    <row r="466" spans="1:13" x14ac:dyDescent="0.25">
      <c r="A466" s="2">
        <v>10277</v>
      </c>
      <c r="B466" s="1" t="s">
        <v>1589</v>
      </c>
      <c r="C466" s="1" t="s">
        <v>1590</v>
      </c>
      <c r="D466" s="1" t="s">
        <v>1591</v>
      </c>
      <c r="E466" s="1" t="s">
        <v>13</v>
      </c>
      <c r="F466" s="1" t="s">
        <v>1592</v>
      </c>
      <c r="G466" s="1">
        <v>5</v>
      </c>
      <c r="H466" s="1" t="s">
        <v>29</v>
      </c>
      <c r="I466" s="1">
        <v>0</v>
      </c>
      <c r="J466" s="1" t="s">
        <v>23</v>
      </c>
      <c r="K466" s="1">
        <v>59534</v>
      </c>
      <c r="L466" s="1" t="s">
        <v>40</v>
      </c>
      <c r="M466" s="3" t="s">
        <v>41</v>
      </c>
    </row>
    <row r="467" spans="1:13" x14ac:dyDescent="0.25">
      <c r="A467" s="2">
        <v>10278</v>
      </c>
      <c r="B467" s="1" t="s">
        <v>1593</v>
      </c>
      <c r="C467" s="1" t="s">
        <v>1594</v>
      </c>
      <c r="D467" s="1" t="s">
        <v>341</v>
      </c>
      <c r="E467" s="1" t="s">
        <v>13</v>
      </c>
      <c r="F467" s="1" t="s">
        <v>1595</v>
      </c>
      <c r="G467" s="1">
        <v>9</v>
      </c>
      <c r="H467" s="1" t="s">
        <v>35</v>
      </c>
      <c r="I467" s="1">
        <v>0</v>
      </c>
      <c r="J467" s="1" t="s">
        <v>23</v>
      </c>
      <c r="K467" s="1">
        <v>51703</v>
      </c>
      <c r="L467" s="1" t="s">
        <v>17</v>
      </c>
      <c r="M467" s="3" t="s">
        <v>55</v>
      </c>
    </row>
    <row r="468" spans="1:13" x14ac:dyDescent="0.25">
      <c r="A468" s="2">
        <v>260621</v>
      </c>
      <c r="B468" s="1" t="s">
        <v>1596</v>
      </c>
      <c r="C468" s="1" t="s">
        <v>1597</v>
      </c>
      <c r="D468" s="1" t="s">
        <v>1598</v>
      </c>
      <c r="E468" s="1" t="s">
        <v>13</v>
      </c>
      <c r="F468" s="1" t="s">
        <v>1599</v>
      </c>
      <c r="G468" s="1">
        <v>7</v>
      </c>
      <c r="H468" s="1" t="s">
        <v>138</v>
      </c>
      <c r="I468" s="1">
        <v>0</v>
      </c>
      <c r="J468" s="1" t="s">
        <v>23</v>
      </c>
      <c r="K468" s="1">
        <v>54758</v>
      </c>
      <c r="L468" s="1" t="s">
        <v>24</v>
      </c>
      <c r="M468" s="3" t="s">
        <v>18</v>
      </c>
    </row>
    <row r="469" spans="1:13" x14ac:dyDescent="0.25">
      <c r="A469" s="2">
        <v>10279</v>
      </c>
      <c r="B469" s="1" t="s">
        <v>1600</v>
      </c>
      <c r="C469" s="1" t="s">
        <v>1601</v>
      </c>
      <c r="D469" s="1" t="s">
        <v>1602</v>
      </c>
      <c r="E469" s="1" t="s">
        <v>33</v>
      </c>
      <c r="F469" s="1" t="s">
        <v>1603</v>
      </c>
      <c r="G469" s="1">
        <v>10</v>
      </c>
      <c r="H469" s="1" t="s">
        <v>138</v>
      </c>
      <c r="I469" s="1">
        <v>0</v>
      </c>
      <c r="J469" s="1" t="s">
        <v>23</v>
      </c>
      <c r="K469" s="1">
        <v>40000</v>
      </c>
      <c r="L469" s="1" t="s">
        <v>24</v>
      </c>
      <c r="M469" s="3" t="s">
        <v>55</v>
      </c>
    </row>
    <row r="470" spans="1:13" x14ac:dyDescent="0.25">
      <c r="A470" s="2">
        <v>10279</v>
      </c>
      <c r="B470" s="1" t="s">
        <v>1600</v>
      </c>
      <c r="C470" s="1" t="s">
        <v>1601</v>
      </c>
      <c r="D470" s="1" t="s">
        <v>1602</v>
      </c>
      <c r="E470" s="1" t="s">
        <v>33</v>
      </c>
      <c r="F470" s="1" t="s">
        <v>1603</v>
      </c>
      <c r="G470" s="1">
        <v>10</v>
      </c>
      <c r="H470" s="1" t="s">
        <v>138</v>
      </c>
      <c r="I470" s="1">
        <v>0</v>
      </c>
      <c r="J470" s="1" t="s">
        <v>23</v>
      </c>
      <c r="K470" s="1">
        <v>40000</v>
      </c>
      <c r="L470" s="1" t="s">
        <v>89</v>
      </c>
      <c r="M470" s="3" t="s">
        <v>55</v>
      </c>
    </row>
    <row r="471" spans="1:13" x14ac:dyDescent="0.25">
      <c r="A471" s="2">
        <v>24103</v>
      </c>
      <c r="B471" s="1" t="s">
        <v>1604</v>
      </c>
      <c r="C471" s="1" t="s">
        <v>575</v>
      </c>
      <c r="D471" s="1" t="s">
        <v>1605</v>
      </c>
      <c r="E471" s="1" t="s">
        <v>13</v>
      </c>
      <c r="F471" s="1" t="s">
        <v>1606</v>
      </c>
      <c r="G471" s="1">
        <v>4</v>
      </c>
      <c r="H471" s="1" t="s">
        <v>29</v>
      </c>
      <c r="I471" s="1">
        <v>0</v>
      </c>
      <c r="J471" s="1" t="s">
        <v>23</v>
      </c>
      <c r="K471" s="1">
        <v>40000</v>
      </c>
      <c r="L471" s="1" t="s">
        <v>89</v>
      </c>
      <c r="M471" s="3" t="s">
        <v>41</v>
      </c>
    </row>
    <row r="472" spans="1:13" x14ac:dyDescent="0.25">
      <c r="A472" s="2">
        <v>10280</v>
      </c>
      <c r="B472" s="1" t="s">
        <v>1607</v>
      </c>
      <c r="C472" s="1" t="s">
        <v>1043</v>
      </c>
      <c r="D472" s="1" t="s">
        <v>1608</v>
      </c>
      <c r="E472" s="1" t="s">
        <v>13</v>
      </c>
      <c r="F472" s="1" t="s">
        <v>1609</v>
      </c>
      <c r="G472" s="1">
        <v>2</v>
      </c>
      <c r="H472" s="1" t="s">
        <v>29</v>
      </c>
      <c r="I472" s="1">
        <v>0</v>
      </c>
      <c r="J472" s="1" t="s">
        <v>23</v>
      </c>
      <c r="K472" s="1">
        <v>66695</v>
      </c>
      <c r="L472" s="1" t="s">
        <v>46</v>
      </c>
      <c r="M472" s="3" t="s">
        <v>41</v>
      </c>
    </row>
    <row r="473" spans="1:13" x14ac:dyDescent="0.25">
      <c r="A473" s="2">
        <v>10281</v>
      </c>
      <c r="B473" s="1" t="s">
        <v>1610</v>
      </c>
      <c r="C473" s="1" t="s">
        <v>1611</v>
      </c>
      <c r="D473" s="1" t="s">
        <v>1612</v>
      </c>
      <c r="E473" s="1" t="s">
        <v>13</v>
      </c>
      <c r="F473" s="1" t="s">
        <v>1613</v>
      </c>
      <c r="G473" s="1">
        <v>8</v>
      </c>
      <c r="H473" s="1" t="s">
        <v>35</v>
      </c>
      <c r="I473" s="1">
        <v>0</v>
      </c>
      <c r="J473" s="1" t="s">
        <v>23</v>
      </c>
      <c r="K473" s="1">
        <v>46123</v>
      </c>
      <c r="L473" s="1" t="s">
        <v>71</v>
      </c>
      <c r="M473" s="3" t="s">
        <v>18</v>
      </c>
    </row>
    <row r="474" spans="1:13" x14ac:dyDescent="0.25">
      <c r="A474" s="2">
        <v>78524</v>
      </c>
      <c r="B474" s="1" t="s">
        <v>1614</v>
      </c>
      <c r="C474" s="1" t="s">
        <v>1615</v>
      </c>
      <c r="D474" s="1" t="s">
        <v>1616</v>
      </c>
      <c r="E474" s="1" t="s">
        <v>33</v>
      </c>
      <c r="F474" s="1" t="s">
        <v>1617</v>
      </c>
      <c r="G474" s="1">
        <v>5</v>
      </c>
      <c r="H474" s="1" t="s">
        <v>35</v>
      </c>
      <c r="I474" s="1">
        <v>1</v>
      </c>
      <c r="J474" s="1" t="s">
        <v>1618</v>
      </c>
      <c r="K474" s="1">
        <v>63123</v>
      </c>
      <c r="L474" s="1" t="s">
        <v>40</v>
      </c>
      <c r="M474" s="3" t="s">
        <v>41</v>
      </c>
    </row>
    <row r="475" spans="1:13" x14ac:dyDescent="0.25">
      <c r="A475" s="2">
        <v>10282</v>
      </c>
      <c r="B475" s="1" t="s">
        <v>1619</v>
      </c>
      <c r="C475" s="1" t="s">
        <v>1620</v>
      </c>
      <c r="D475" s="1" t="s">
        <v>1621</v>
      </c>
      <c r="E475" s="1" t="s">
        <v>13</v>
      </c>
      <c r="F475" s="1" t="s">
        <v>1622</v>
      </c>
      <c r="G475" s="1">
        <v>8</v>
      </c>
      <c r="H475" s="1" t="s">
        <v>29</v>
      </c>
      <c r="I475" s="1">
        <v>0</v>
      </c>
      <c r="J475" s="1" t="s">
        <v>23</v>
      </c>
      <c r="K475" s="1">
        <v>40000</v>
      </c>
      <c r="L475" s="1" t="s">
        <v>24</v>
      </c>
      <c r="M475" s="3" t="s">
        <v>55</v>
      </c>
    </row>
    <row r="476" spans="1:13" x14ac:dyDescent="0.25">
      <c r="A476" s="2">
        <v>10283</v>
      </c>
      <c r="B476" s="1" t="s">
        <v>1623</v>
      </c>
      <c r="C476" s="1" t="s">
        <v>881</v>
      </c>
      <c r="D476" s="1" t="s">
        <v>1624</v>
      </c>
      <c r="E476" s="1" t="s">
        <v>13</v>
      </c>
      <c r="F476" s="1" t="s">
        <v>1625</v>
      </c>
      <c r="G476" s="1">
        <v>2</v>
      </c>
      <c r="H476" s="1" t="s">
        <v>15</v>
      </c>
      <c r="I476" s="1">
        <v>1</v>
      </c>
      <c r="J476" s="1" t="s">
        <v>1626</v>
      </c>
      <c r="K476" s="1">
        <v>40000</v>
      </c>
      <c r="L476" s="1" t="s">
        <v>17</v>
      </c>
      <c r="M476" s="3" t="s">
        <v>18</v>
      </c>
    </row>
    <row r="477" spans="1:13" x14ac:dyDescent="0.25">
      <c r="A477" s="2">
        <v>10284</v>
      </c>
      <c r="B477" s="1" t="s">
        <v>1627</v>
      </c>
      <c r="C477" s="1" t="s">
        <v>401</v>
      </c>
      <c r="D477" s="1" t="s">
        <v>1628</v>
      </c>
      <c r="E477" s="1" t="s">
        <v>33</v>
      </c>
      <c r="F477" s="1" t="s">
        <v>1629</v>
      </c>
      <c r="G477" s="1">
        <v>6</v>
      </c>
      <c r="H477" s="1" t="s">
        <v>15</v>
      </c>
      <c r="I477" s="1">
        <v>0</v>
      </c>
      <c r="J477" s="1" t="s">
        <v>23</v>
      </c>
      <c r="K477" s="1">
        <v>40000</v>
      </c>
      <c r="L477" s="1" t="s">
        <v>24</v>
      </c>
      <c r="M477" s="3" t="s">
        <v>55</v>
      </c>
    </row>
    <row r="478" spans="1:13" x14ac:dyDescent="0.25">
      <c r="A478" s="2">
        <v>10285</v>
      </c>
      <c r="B478" s="1" t="s">
        <v>1630</v>
      </c>
      <c r="C478" s="1" t="s">
        <v>599</v>
      </c>
      <c r="D478" s="1" t="s">
        <v>32</v>
      </c>
      <c r="E478" s="1" t="s">
        <v>33</v>
      </c>
      <c r="F478" s="1" t="s">
        <v>1631</v>
      </c>
      <c r="G478" s="1">
        <v>5</v>
      </c>
      <c r="H478" s="1" t="s">
        <v>29</v>
      </c>
      <c r="I478" s="1">
        <v>0</v>
      </c>
      <c r="J478" s="1" t="s">
        <v>23</v>
      </c>
      <c r="K478" s="1">
        <v>62075</v>
      </c>
      <c r="L478" s="1" t="s">
        <v>61</v>
      </c>
      <c r="M478" s="3" t="s">
        <v>41</v>
      </c>
    </row>
    <row r="479" spans="1:13" x14ac:dyDescent="0.25">
      <c r="A479" s="2">
        <v>239616</v>
      </c>
      <c r="B479" s="1" t="s">
        <v>1632</v>
      </c>
      <c r="C479" s="1" t="s">
        <v>886</v>
      </c>
      <c r="D479" s="1" t="s">
        <v>1633</v>
      </c>
      <c r="E479" s="1" t="s">
        <v>13</v>
      </c>
      <c r="F479" s="1" t="s">
        <v>1634</v>
      </c>
      <c r="G479" s="1">
        <v>9</v>
      </c>
      <c r="H479" s="1" t="s">
        <v>29</v>
      </c>
      <c r="I479" s="1">
        <v>0</v>
      </c>
      <c r="J479" s="1" t="s">
        <v>23</v>
      </c>
      <c r="K479" s="1">
        <v>48836</v>
      </c>
      <c r="L479" s="1" t="s">
        <v>24</v>
      </c>
      <c r="M479" s="3" t="s">
        <v>156</v>
      </c>
    </row>
    <row r="480" spans="1:13" x14ac:dyDescent="0.25">
      <c r="A480" s="2">
        <v>239616</v>
      </c>
      <c r="B480" s="1" t="s">
        <v>1632</v>
      </c>
      <c r="C480" s="1" t="s">
        <v>886</v>
      </c>
      <c r="D480" s="1" t="s">
        <v>1633</v>
      </c>
      <c r="E480" s="1" t="s">
        <v>13</v>
      </c>
      <c r="F480" s="1" t="s">
        <v>1634</v>
      </c>
      <c r="G480" s="1">
        <v>9</v>
      </c>
      <c r="H480" s="1" t="s">
        <v>29</v>
      </c>
      <c r="I480" s="1">
        <v>0</v>
      </c>
      <c r="J480" s="1" t="s">
        <v>23</v>
      </c>
      <c r="K480" s="1">
        <v>48836</v>
      </c>
      <c r="L480" s="1" t="s">
        <v>17</v>
      </c>
      <c r="M480" s="3" t="s">
        <v>156</v>
      </c>
    </row>
    <row r="481" spans="1:13" x14ac:dyDescent="0.25">
      <c r="A481" s="2">
        <v>10286</v>
      </c>
      <c r="B481" s="1" t="s">
        <v>1635</v>
      </c>
      <c r="C481" s="1" t="s">
        <v>1636</v>
      </c>
      <c r="D481" s="1" t="s">
        <v>1637</v>
      </c>
      <c r="E481" s="1" t="s">
        <v>33</v>
      </c>
      <c r="F481" s="1" t="s">
        <v>1638</v>
      </c>
      <c r="G481" s="1">
        <v>10</v>
      </c>
      <c r="H481" s="1" t="s">
        <v>29</v>
      </c>
      <c r="I481" s="1">
        <v>1</v>
      </c>
      <c r="J481" s="1" t="s">
        <v>1639</v>
      </c>
      <c r="K481" s="1">
        <v>40000</v>
      </c>
      <c r="L481" s="1" t="s">
        <v>89</v>
      </c>
      <c r="M481" s="3" t="s">
        <v>41</v>
      </c>
    </row>
    <row r="482" spans="1:13" x14ac:dyDescent="0.25">
      <c r="A482" s="2">
        <v>10287</v>
      </c>
      <c r="B482" s="1" t="s">
        <v>1640</v>
      </c>
      <c r="C482" s="1" t="s">
        <v>1438</v>
      </c>
      <c r="D482" s="1" t="s">
        <v>829</v>
      </c>
      <c r="E482" s="1" t="s">
        <v>13</v>
      </c>
      <c r="F482" s="1" t="s">
        <v>631</v>
      </c>
      <c r="G482" s="1">
        <v>6</v>
      </c>
      <c r="H482" s="1" t="s">
        <v>35</v>
      </c>
      <c r="I482" s="1">
        <v>0</v>
      </c>
      <c r="J482" s="1" t="s">
        <v>23</v>
      </c>
      <c r="K482" s="1">
        <v>55732</v>
      </c>
      <c r="L482" s="1" t="s">
        <v>17</v>
      </c>
      <c r="M482" s="3" t="s">
        <v>41</v>
      </c>
    </row>
    <row r="483" spans="1:13" x14ac:dyDescent="0.25">
      <c r="A483" s="2">
        <v>10287</v>
      </c>
      <c r="B483" s="1" t="s">
        <v>1640</v>
      </c>
      <c r="C483" s="1" t="s">
        <v>1438</v>
      </c>
      <c r="D483" s="1" t="s">
        <v>829</v>
      </c>
      <c r="E483" s="1" t="s">
        <v>13</v>
      </c>
      <c r="F483" s="1" t="s">
        <v>631</v>
      </c>
      <c r="G483" s="1">
        <v>6</v>
      </c>
      <c r="H483" s="1" t="s">
        <v>35</v>
      </c>
      <c r="I483" s="1">
        <v>0</v>
      </c>
      <c r="J483" s="1" t="s">
        <v>23</v>
      </c>
      <c r="K483" s="1">
        <v>55732</v>
      </c>
      <c r="L483" s="1" t="s">
        <v>61</v>
      </c>
      <c r="M483" s="3" t="s">
        <v>41</v>
      </c>
    </row>
    <row r="484" spans="1:13" x14ac:dyDescent="0.25">
      <c r="A484" s="2">
        <v>469619</v>
      </c>
      <c r="B484" s="1" t="s">
        <v>1641</v>
      </c>
      <c r="C484" s="1" t="s">
        <v>1642</v>
      </c>
      <c r="D484" s="1" t="s">
        <v>1643</v>
      </c>
      <c r="E484" s="1" t="s">
        <v>13</v>
      </c>
      <c r="F484" s="1" t="s">
        <v>1644</v>
      </c>
      <c r="G484" s="1">
        <v>8</v>
      </c>
      <c r="H484" s="1" t="s">
        <v>15</v>
      </c>
      <c r="I484" s="1">
        <v>0</v>
      </c>
      <c r="J484" s="1" t="s">
        <v>23</v>
      </c>
      <c r="K484" s="1">
        <v>47456</v>
      </c>
      <c r="L484" s="1" t="s">
        <v>24</v>
      </c>
      <c r="M484" s="3" t="s">
        <v>18</v>
      </c>
    </row>
    <row r="485" spans="1:13" x14ac:dyDescent="0.25">
      <c r="A485" s="2">
        <v>10288</v>
      </c>
      <c r="B485" s="1" t="s">
        <v>1645</v>
      </c>
      <c r="C485" s="1" t="s">
        <v>1646</v>
      </c>
      <c r="D485" s="1" t="s">
        <v>1647</v>
      </c>
      <c r="E485" s="1" t="s">
        <v>13</v>
      </c>
      <c r="F485" s="1" t="s">
        <v>1648</v>
      </c>
      <c r="G485" s="1">
        <v>8</v>
      </c>
      <c r="H485" s="1" t="s">
        <v>15</v>
      </c>
      <c r="I485" s="1">
        <v>0</v>
      </c>
      <c r="J485" s="1" t="s">
        <v>23</v>
      </c>
      <c r="K485" s="1">
        <v>80474</v>
      </c>
      <c r="L485" s="1" t="s">
        <v>24</v>
      </c>
      <c r="M485" s="3" t="s">
        <v>156</v>
      </c>
    </row>
    <row r="486" spans="1:13" x14ac:dyDescent="0.25">
      <c r="A486" s="2">
        <v>36372</v>
      </c>
      <c r="B486" s="1" t="s">
        <v>1649</v>
      </c>
      <c r="C486" s="1" t="s">
        <v>1650</v>
      </c>
      <c r="D486" s="1" t="s">
        <v>1651</v>
      </c>
      <c r="E486" s="1" t="s">
        <v>33</v>
      </c>
      <c r="F486" s="1" t="s">
        <v>1652</v>
      </c>
      <c r="G486" s="1">
        <v>4</v>
      </c>
      <c r="H486" s="1" t="s">
        <v>138</v>
      </c>
      <c r="I486" s="1">
        <v>0</v>
      </c>
      <c r="J486" s="1" t="s">
        <v>23</v>
      </c>
      <c r="K486" s="1">
        <v>74338</v>
      </c>
      <c r="L486" s="1" t="s">
        <v>40</v>
      </c>
      <c r="M486" s="3" t="s">
        <v>102</v>
      </c>
    </row>
    <row r="487" spans="1:13" x14ac:dyDescent="0.25">
      <c r="A487" s="2">
        <v>10289</v>
      </c>
      <c r="B487" s="1" t="s">
        <v>1653</v>
      </c>
      <c r="C487" s="1" t="s">
        <v>1654</v>
      </c>
      <c r="D487" s="1" t="s">
        <v>1655</v>
      </c>
      <c r="E487" s="1" t="s">
        <v>13</v>
      </c>
      <c r="F487" s="1" t="s">
        <v>1656</v>
      </c>
      <c r="G487" s="1">
        <v>6</v>
      </c>
      <c r="H487" s="1" t="s">
        <v>29</v>
      </c>
      <c r="I487" s="1">
        <v>0</v>
      </c>
      <c r="J487" s="1" t="s">
        <v>23</v>
      </c>
      <c r="K487" s="1">
        <v>40000</v>
      </c>
      <c r="L487" s="1" t="s">
        <v>17</v>
      </c>
      <c r="M487" s="3" t="s">
        <v>156</v>
      </c>
    </row>
    <row r="488" spans="1:13" x14ac:dyDescent="0.25">
      <c r="A488" s="2">
        <v>10290</v>
      </c>
      <c r="B488" s="1" t="s">
        <v>1657</v>
      </c>
      <c r="C488" s="1" t="s">
        <v>1658</v>
      </c>
      <c r="D488" s="1" t="s">
        <v>1659</v>
      </c>
      <c r="E488" s="1" t="s">
        <v>13</v>
      </c>
      <c r="F488" s="1" t="s">
        <v>1660</v>
      </c>
      <c r="G488" s="1">
        <v>5</v>
      </c>
      <c r="H488" s="1" t="s">
        <v>138</v>
      </c>
      <c r="I488" s="1">
        <v>0</v>
      </c>
      <c r="J488" s="1" t="s">
        <v>23</v>
      </c>
      <c r="K488" s="1">
        <v>44274</v>
      </c>
      <c r="L488" s="1" t="s">
        <v>17</v>
      </c>
      <c r="M488" s="3" t="s">
        <v>18</v>
      </c>
    </row>
    <row r="489" spans="1:13" x14ac:dyDescent="0.25">
      <c r="A489" s="2">
        <v>260402</v>
      </c>
      <c r="B489" s="1" t="s">
        <v>1661</v>
      </c>
      <c r="C489" s="1" t="s">
        <v>1662</v>
      </c>
      <c r="D489" s="1" t="s">
        <v>1214</v>
      </c>
      <c r="E489" s="1" t="s">
        <v>13</v>
      </c>
      <c r="F489" s="1" t="s">
        <v>1663</v>
      </c>
      <c r="G489" s="1">
        <v>3</v>
      </c>
      <c r="H489" s="1" t="s">
        <v>15</v>
      </c>
      <c r="I489" s="1">
        <v>0</v>
      </c>
      <c r="J489" s="1" t="s">
        <v>23</v>
      </c>
      <c r="K489" s="1">
        <v>40000</v>
      </c>
      <c r="L489" s="1" t="s">
        <v>17</v>
      </c>
      <c r="M489" s="3" t="s">
        <v>18</v>
      </c>
    </row>
    <row r="490" spans="1:13" x14ac:dyDescent="0.25">
      <c r="A490" s="2">
        <v>10291</v>
      </c>
      <c r="B490" s="1" t="s">
        <v>1664</v>
      </c>
      <c r="C490" s="1" t="s">
        <v>1665</v>
      </c>
      <c r="D490" s="1" t="s">
        <v>1666</v>
      </c>
      <c r="E490" s="1" t="s">
        <v>13</v>
      </c>
      <c r="F490" s="1" t="s">
        <v>1667</v>
      </c>
      <c r="G490" s="1">
        <v>1</v>
      </c>
      <c r="H490" s="1" t="s">
        <v>15</v>
      </c>
      <c r="I490" s="1">
        <v>0</v>
      </c>
      <c r="J490" s="1" t="s">
        <v>23</v>
      </c>
      <c r="K490" s="1">
        <v>57430</v>
      </c>
      <c r="L490" s="1" t="s">
        <v>40</v>
      </c>
      <c r="M490" s="3" t="s">
        <v>41</v>
      </c>
    </row>
    <row r="491" spans="1:13" x14ac:dyDescent="0.25">
      <c r="A491" s="2">
        <v>10292</v>
      </c>
      <c r="B491" s="1" t="s">
        <v>1668</v>
      </c>
      <c r="C491" s="1" t="s">
        <v>856</v>
      </c>
      <c r="D491" s="1" t="s">
        <v>1161</v>
      </c>
      <c r="E491" s="1" t="s">
        <v>33</v>
      </c>
      <c r="F491" s="1" t="s">
        <v>1669</v>
      </c>
      <c r="G491" s="1">
        <v>2</v>
      </c>
      <c r="H491" s="1" t="s">
        <v>29</v>
      </c>
      <c r="I491" s="1">
        <v>0</v>
      </c>
      <c r="J491" s="1" t="s">
        <v>23</v>
      </c>
      <c r="K491" s="1">
        <v>78370</v>
      </c>
      <c r="L491" s="1" t="s">
        <v>40</v>
      </c>
      <c r="M491" s="3" t="s">
        <v>41</v>
      </c>
    </row>
    <row r="492" spans="1:13" x14ac:dyDescent="0.25">
      <c r="A492" s="2">
        <v>469215</v>
      </c>
      <c r="B492" s="1" t="s">
        <v>1670</v>
      </c>
      <c r="C492" s="1" t="s">
        <v>1671</v>
      </c>
      <c r="D492" s="1" t="s">
        <v>1672</v>
      </c>
      <c r="E492" s="1" t="s">
        <v>33</v>
      </c>
      <c r="F492" s="1" t="s">
        <v>1673</v>
      </c>
      <c r="G492" s="1">
        <v>6</v>
      </c>
      <c r="H492" s="1" t="s">
        <v>35</v>
      </c>
      <c r="I492" s="1">
        <v>0</v>
      </c>
      <c r="J492" s="1" t="s">
        <v>23</v>
      </c>
      <c r="K492" s="1">
        <v>56042</v>
      </c>
      <c r="L492" s="1" t="s">
        <v>17</v>
      </c>
      <c r="M492" s="3" t="s">
        <v>55</v>
      </c>
    </row>
    <row r="493" spans="1:13" x14ac:dyDescent="0.25">
      <c r="A493" s="2">
        <v>10293</v>
      </c>
      <c r="B493" s="1" t="s">
        <v>1674</v>
      </c>
      <c r="C493" s="1" t="s">
        <v>1096</v>
      </c>
      <c r="D493" s="1" t="s">
        <v>1675</v>
      </c>
      <c r="E493" s="1" t="s">
        <v>33</v>
      </c>
      <c r="F493" s="1" t="s">
        <v>1676</v>
      </c>
      <c r="G493" s="1">
        <v>3</v>
      </c>
      <c r="H493" s="1" t="s">
        <v>29</v>
      </c>
      <c r="I493" s="1">
        <v>0</v>
      </c>
      <c r="J493" s="1" t="s">
        <v>23</v>
      </c>
      <c r="K493" s="1">
        <v>44200</v>
      </c>
      <c r="L493" s="1" t="s">
        <v>24</v>
      </c>
      <c r="M493" s="3" t="s">
        <v>18</v>
      </c>
    </row>
    <row r="494" spans="1:13" x14ac:dyDescent="0.25">
      <c r="A494" s="2">
        <v>10294</v>
      </c>
      <c r="B494" s="1" t="s">
        <v>1677</v>
      </c>
      <c r="C494" s="1" t="s">
        <v>1268</v>
      </c>
      <c r="D494" s="1" t="s">
        <v>1678</v>
      </c>
      <c r="E494" s="1" t="s">
        <v>13</v>
      </c>
      <c r="F494" s="1" t="s">
        <v>1679</v>
      </c>
      <c r="G494" s="1">
        <v>1</v>
      </c>
      <c r="H494" s="1" t="s">
        <v>15</v>
      </c>
      <c r="I494" s="1">
        <v>0</v>
      </c>
      <c r="J494" s="1" t="s">
        <v>23</v>
      </c>
      <c r="K494" s="1">
        <v>66448</v>
      </c>
      <c r="L494" s="1" t="s">
        <v>17</v>
      </c>
      <c r="M494" s="3" t="s">
        <v>18</v>
      </c>
    </row>
    <row r="495" spans="1:13" x14ac:dyDescent="0.25">
      <c r="A495" s="2">
        <v>69005</v>
      </c>
      <c r="B495" s="1" t="s">
        <v>1680</v>
      </c>
      <c r="C495" s="1" t="s">
        <v>238</v>
      </c>
      <c r="D495" s="1" t="s">
        <v>1681</v>
      </c>
      <c r="E495" s="1" t="s">
        <v>13</v>
      </c>
      <c r="F495" s="1" t="s">
        <v>1682</v>
      </c>
      <c r="G495" s="1">
        <v>9</v>
      </c>
      <c r="H495" s="1" t="s">
        <v>15</v>
      </c>
      <c r="I495" s="1">
        <v>0</v>
      </c>
      <c r="J495" s="1" t="s">
        <v>23</v>
      </c>
      <c r="K495" s="1">
        <v>40000</v>
      </c>
      <c r="L495" s="1" t="s">
        <v>17</v>
      </c>
      <c r="M495" s="3" t="s">
        <v>18</v>
      </c>
    </row>
    <row r="496" spans="1:13" x14ac:dyDescent="0.25">
      <c r="A496" s="2">
        <v>69005</v>
      </c>
      <c r="B496" s="1" t="s">
        <v>1680</v>
      </c>
      <c r="C496" s="1" t="s">
        <v>238</v>
      </c>
      <c r="D496" s="1" t="s">
        <v>1681</v>
      </c>
      <c r="E496" s="1" t="s">
        <v>13</v>
      </c>
      <c r="F496" s="1" t="s">
        <v>1682</v>
      </c>
      <c r="G496" s="1">
        <v>9</v>
      </c>
      <c r="H496" s="1" t="s">
        <v>15</v>
      </c>
      <c r="I496" s="1">
        <v>0</v>
      </c>
      <c r="J496" s="1" t="s">
        <v>23</v>
      </c>
      <c r="K496" s="1">
        <v>40000</v>
      </c>
      <c r="L496" s="1" t="s">
        <v>61</v>
      </c>
      <c r="M496" s="3" t="s">
        <v>18</v>
      </c>
    </row>
    <row r="497" spans="1:13" x14ac:dyDescent="0.25">
      <c r="A497" s="2">
        <v>10295</v>
      </c>
      <c r="B497" s="1" t="s">
        <v>1683</v>
      </c>
      <c r="C497" s="1" t="s">
        <v>1684</v>
      </c>
      <c r="D497" s="1" t="s">
        <v>1685</v>
      </c>
      <c r="E497" s="1" t="s">
        <v>13</v>
      </c>
      <c r="F497" s="1" t="s">
        <v>1686</v>
      </c>
      <c r="G497" s="1">
        <v>1</v>
      </c>
      <c r="H497" s="1" t="s">
        <v>15</v>
      </c>
      <c r="I497" s="1">
        <v>0</v>
      </c>
      <c r="J497" s="1" t="s">
        <v>23</v>
      </c>
      <c r="K497" s="1">
        <v>46398</v>
      </c>
      <c r="L497" s="1" t="s">
        <v>108</v>
      </c>
      <c r="M497" s="3" t="s">
        <v>41</v>
      </c>
    </row>
    <row r="498" spans="1:13" x14ac:dyDescent="0.25">
      <c r="A498" s="2">
        <v>10296</v>
      </c>
      <c r="B498" s="1" t="s">
        <v>1687</v>
      </c>
      <c r="C498" s="1" t="s">
        <v>1688</v>
      </c>
      <c r="D498" s="1" t="s">
        <v>164</v>
      </c>
      <c r="E498" s="1" t="s">
        <v>13</v>
      </c>
      <c r="F498" s="1" t="s">
        <v>1689</v>
      </c>
      <c r="G498" s="1">
        <v>1</v>
      </c>
      <c r="H498" s="1" t="s">
        <v>35</v>
      </c>
      <c r="I498" s="1">
        <v>0</v>
      </c>
      <c r="J498" s="1" t="s">
        <v>23</v>
      </c>
      <c r="K498" s="1">
        <v>77788</v>
      </c>
      <c r="L498" s="1" t="s">
        <v>40</v>
      </c>
      <c r="M498" s="3" t="s">
        <v>41</v>
      </c>
    </row>
    <row r="499" spans="1:13" x14ac:dyDescent="0.25">
      <c r="A499" s="2">
        <v>279559</v>
      </c>
      <c r="B499" s="1" t="s">
        <v>1690</v>
      </c>
      <c r="C499" s="1" t="s">
        <v>1691</v>
      </c>
      <c r="D499" s="1" t="s">
        <v>1692</v>
      </c>
      <c r="E499" s="1" t="s">
        <v>33</v>
      </c>
      <c r="F499" s="1" t="s">
        <v>1693</v>
      </c>
      <c r="G499" s="1">
        <v>8</v>
      </c>
      <c r="H499" s="1" t="s">
        <v>35</v>
      </c>
      <c r="I499" s="1">
        <v>0</v>
      </c>
      <c r="J499" s="1" t="s">
        <v>23</v>
      </c>
      <c r="K499" s="1">
        <v>83729</v>
      </c>
      <c r="L499" s="1" t="s">
        <v>40</v>
      </c>
      <c r="M499" s="3" t="s">
        <v>41</v>
      </c>
    </row>
    <row r="500" spans="1:13" x14ac:dyDescent="0.25">
      <c r="A500" s="2">
        <v>279559</v>
      </c>
      <c r="B500" s="1" t="s">
        <v>1690</v>
      </c>
      <c r="C500" s="1" t="s">
        <v>1691</v>
      </c>
      <c r="D500" s="1" t="s">
        <v>1692</v>
      </c>
      <c r="E500" s="1" t="s">
        <v>33</v>
      </c>
      <c r="F500" s="1" t="s">
        <v>1693</v>
      </c>
      <c r="G500" s="1">
        <v>8</v>
      </c>
      <c r="H500" s="1" t="s">
        <v>35</v>
      </c>
      <c r="I500" s="1">
        <v>0</v>
      </c>
      <c r="J500" s="1" t="s">
        <v>23</v>
      </c>
      <c r="K500" s="1">
        <v>83729</v>
      </c>
      <c r="L500" s="1" t="s">
        <v>89</v>
      </c>
      <c r="M500" s="3" t="s">
        <v>41</v>
      </c>
    </row>
    <row r="501" spans="1:13" x14ac:dyDescent="0.25">
      <c r="A501" s="7">
        <v>10297</v>
      </c>
      <c r="B501" s="8" t="s">
        <v>1694</v>
      </c>
      <c r="C501" s="8" t="s">
        <v>1695</v>
      </c>
      <c r="D501" s="8" t="s">
        <v>1696</v>
      </c>
      <c r="E501" s="8" t="s">
        <v>33</v>
      </c>
      <c r="F501" s="8" t="s">
        <v>713</v>
      </c>
      <c r="G501" s="8">
        <v>9</v>
      </c>
      <c r="H501" s="8" t="s">
        <v>15</v>
      </c>
      <c r="I501" s="8">
        <v>0</v>
      </c>
      <c r="J501" s="8" t="s">
        <v>23</v>
      </c>
      <c r="K501" s="8">
        <v>63061</v>
      </c>
      <c r="L501" s="8" t="s">
        <v>24</v>
      </c>
      <c r="M501" s="9"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D234A-A37D-4C08-BA4E-8D4CDD342E30}">
  <dimension ref="A1:N501"/>
  <sheetViews>
    <sheetView topLeftCell="C1" zoomScale="116" workbookViewId="0">
      <selection activeCell="N3" sqref="N3"/>
    </sheetView>
  </sheetViews>
  <sheetFormatPr defaultRowHeight="15" x14ac:dyDescent="0.25"/>
  <cols>
    <col min="1" max="1" width="9.85546875" bestFit="1" customWidth="1"/>
    <col min="2" max="2" width="23.42578125" customWidth="1"/>
    <col min="3" max="3" width="12.85546875" bestFit="1" customWidth="1"/>
    <col min="4" max="4" width="17.7109375" bestFit="1" customWidth="1"/>
    <col min="5" max="5" width="10" bestFit="1" customWidth="1"/>
    <col min="6" max="6" width="16.140625" customWidth="1"/>
    <col min="7" max="7" width="16.7109375" bestFit="1" customWidth="1"/>
    <col min="8" max="8" width="25.7109375" bestFit="1" customWidth="1"/>
    <col min="9" max="9" width="7.7109375" bestFit="1" customWidth="1"/>
    <col min="10" max="10" width="11.42578125" bestFit="1" customWidth="1"/>
    <col min="11" max="11" width="13.7109375" bestFit="1" customWidth="1"/>
    <col min="12" max="12" width="10.28515625" bestFit="1" customWidth="1"/>
    <col min="13" max="13" width="17.5703125" bestFit="1" customWidth="1"/>
    <col min="14" max="14" width="19" customWidth="1"/>
  </cols>
  <sheetData>
    <row r="1" spans="1:14" x14ac:dyDescent="0.25">
      <c r="A1" s="4" t="s">
        <v>0</v>
      </c>
      <c r="B1" s="5" t="s">
        <v>1707</v>
      </c>
      <c r="C1" s="5" t="s">
        <v>1</v>
      </c>
      <c r="D1" s="5" t="s">
        <v>2</v>
      </c>
      <c r="E1" s="5" t="s">
        <v>3</v>
      </c>
      <c r="F1" s="5" t="s">
        <v>4</v>
      </c>
      <c r="G1" s="5" t="s">
        <v>5</v>
      </c>
      <c r="H1" s="5" t="s">
        <v>6</v>
      </c>
      <c r="I1" s="5" t="s">
        <v>1706</v>
      </c>
      <c r="J1" s="5" t="s">
        <v>7</v>
      </c>
      <c r="K1" s="5" t="s">
        <v>1708</v>
      </c>
      <c r="L1" s="5" t="s">
        <v>8</v>
      </c>
      <c r="M1" s="6" t="s">
        <v>9</v>
      </c>
      <c r="N1" s="5" t="s">
        <v>1813</v>
      </c>
    </row>
    <row r="2" spans="1:14" x14ac:dyDescent="0.25">
      <c r="A2" s="2">
        <v>10001</v>
      </c>
      <c r="B2" s="22">
        <v>19604</v>
      </c>
      <c r="C2" s="1" t="s">
        <v>11</v>
      </c>
      <c r="D2" s="1" t="s">
        <v>12</v>
      </c>
      <c r="E2" s="1" t="s">
        <v>13</v>
      </c>
      <c r="F2" s="22">
        <v>31589</v>
      </c>
      <c r="G2" s="1">
        <v>9</v>
      </c>
      <c r="H2" s="1" t="s">
        <v>15</v>
      </c>
      <c r="I2" s="1">
        <v>1</v>
      </c>
      <c r="J2" s="22">
        <v>34545</v>
      </c>
      <c r="K2" s="24">
        <v>60117</v>
      </c>
      <c r="L2" s="1" t="s">
        <v>17</v>
      </c>
      <c r="M2" s="3" t="s">
        <v>18</v>
      </c>
      <c r="N2">
        <f>IF(AND( Table15[[#This Row],[Salary]] &gt;= 80000, OR(Table15[[#This Row],[Last_performance_rating]] = "C", Table15[[#This Row],[Last_performance_rating]] = "PIP")) =  TRUE, 1, 0)</f>
        <v>0</v>
      </c>
    </row>
    <row r="3" spans="1:14" x14ac:dyDescent="0.25">
      <c r="A3" s="2">
        <v>10003</v>
      </c>
      <c r="B3" s="22">
        <v>21887</v>
      </c>
      <c r="C3" s="1" t="s">
        <v>20</v>
      </c>
      <c r="D3" s="1" t="s">
        <v>21</v>
      </c>
      <c r="E3" s="1" t="s">
        <v>13</v>
      </c>
      <c r="F3" s="22">
        <v>31652</v>
      </c>
      <c r="G3" s="1">
        <v>1</v>
      </c>
      <c r="H3" s="1" t="s">
        <v>15</v>
      </c>
      <c r="I3" s="1">
        <v>0</v>
      </c>
      <c r="J3" s="1"/>
      <c r="K3" s="24">
        <v>40006</v>
      </c>
      <c r="L3" s="1" t="s">
        <v>24</v>
      </c>
      <c r="M3" s="3" t="s">
        <v>18</v>
      </c>
      <c r="N3">
        <f>IF(AND( Table15[[#This Row],[Salary]] &gt;= 80000, OR(Table15[[#This Row],[Last_performance_rating]] = "C", Table15[[#This Row],[Last_performance_rating]] = "PIP")) =  TRUE, 1, 0)</f>
        <v>0</v>
      </c>
    </row>
    <row r="4" spans="1:14" x14ac:dyDescent="0.25">
      <c r="A4" s="2">
        <v>10004</v>
      </c>
      <c r="B4" s="22">
        <v>19845</v>
      </c>
      <c r="C4" s="1" t="s">
        <v>26</v>
      </c>
      <c r="D4" s="1" t="s">
        <v>27</v>
      </c>
      <c r="E4" s="1" t="s">
        <v>13</v>
      </c>
      <c r="F4" s="22">
        <v>31747</v>
      </c>
      <c r="G4" s="1">
        <v>5</v>
      </c>
      <c r="H4" s="1" t="s">
        <v>29</v>
      </c>
      <c r="I4" s="1">
        <v>0</v>
      </c>
      <c r="J4" s="1"/>
      <c r="K4" s="24">
        <v>40054</v>
      </c>
      <c r="L4" s="1" t="s">
        <v>24</v>
      </c>
      <c r="M4" s="3" t="s">
        <v>18</v>
      </c>
      <c r="N4">
        <f>IF(AND( Table15[[#This Row],[Salary]] &gt;= 80000, OR(Table15[[#This Row],[Last_performance_rating]] = "C", Table15[[#This Row],[Last_performance_rating]] = "PIP")) =  TRUE, 1, 0)</f>
        <v>0</v>
      </c>
    </row>
    <row r="5" spans="1:14" x14ac:dyDescent="0.25">
      <c r="A5" s="2">
        <v>10006</v>
      </c>
      <c r="B5" s="22">
        <v>19469</v>
      </c>
      <c r="C5" s="1" t="s">
        <v>31</v>
      </c>
      <c r="D5" s="1" t="s">
        <v>32</v>
      </c>
      <c r="E5" s="1" t="s">
        <v>33</v>
      </c>
      <c r="F5" s="22">
        <v>32661</v>
      </c>
      <c r="G5" s="1">
        <v>10</v>
      </c>
      <c r="H5" s="1" t="s">
        <v>35</v>
      </c>
      <c r="I5" s="1">
        <v>0</v>
      </c>
      <c r="J5" s="1"/>
      <c r="K5" s="24">
        <v>40000</v>
      </c>
      <c r="L5" s="1" t="s">
        <v>17</v>
      </c>
      <c r="M5" s="3" t="s">
        <v>18</v>
      </c>
      <c r="N5">
        <f>IF(AND( Table15[[#This Row],[Salary]] &gt;= 80000, OR(Table15[[#This Row],[Last_performance_rating]] = "C", Table15[[#This Row],[Last_performance_rating]] = "PIP")) =  TRUE, 1, 0)</f>
        <v>0</v>
      </c>
    </row>
    <row r="6" spans="1:14" x14ac:dyDescent="0.25">
      <c r="A6" s="2">
        <v>10002</v>
      </c>
      <c r="B6" s="22">
        <v>23530</v>
      </c>
      <c r="C6" s="1" t="s">
        <v>37</v>
      </c>
      <c r="D6" s="1" t="s">
        <v>38</v>
      </c>
      <c r="E6" s="1" t="s">
        <v>33</v>
      </c>
      <c r="F6" s="22">
        <v>31372</v>
      </c>
      <c r="G6" s="1">
        <v>8</v>
      </c>
      <c r="H6" s="1" t="s">
        <v>35</v>
      </c>
      <c r="I6" s="1">
        <v>0</v>
      </c>
      <c r="J6" s="1"/>
      <c r="K6" s="24">
        <v>65828</v>
      </c>
      <c r="L6" s="1" t="s">
        <v>40</v>
      </c>
      <c r="M6" s="3" t="s">
        <v>41</v>
      </c>
      <c r="N6">
        <f>IF(AND( Table15[[#This Row],[Salary]] &gt;= 80000, OR(Table15[[#This Row],[Last_performance_rating]] = "C", Table15[[#This Row],[Last_performance_rating]] = "PIP")) =  TRUE, 1, 0)</f>
        <v>0</v>
      </c>
    </row>
    <row r="7" spans="1:14" x14ac:dyDescent="0.25">
      <c r="A7" s="2">
        <v>10005</v>
      </c>
      <c r="B7" s="22">
        <v>20110</v>
      </c>
      <c r="C7" s="1" t="s">
        <v>43</v>
      </c>
      <c r="D7" s="1" t="s">
        <v>44</v>
      </c>
      <c r="E7" s="1" t="s">
        <v>13</v>
      </c>
      <c r="F7" s="22">
        <v>32763</v>
      </c>
      <c r="G7" s="1">
        <v>6</v>
      </c>
      <c r="H7" s="1" t="s">
        <v>29</v>
      </c>
      <c r="I7" s="1">
        <v>0</v>
      </c>
      <c r="J7" s="1"/>
      <c r="K7" s="24">
        <v>78228</v>
      </c>
      <c r="L7" s="1" t="s">
        <v>46</v>
      </c>
      <c r="M7" s="3" t="s">
        <v>41</v>
      </c>
      <c r="N7">
        <f>IF(AND( Table15[[#This Row],[Salary]] &gt;= 80000, OR(Table15[[#This Row],[Last_performance_rating]] = "C", Table15[[#This Row],[Last_performance_rating]] = "PIP")) =  TRUE, 1, 0)</f>
        <v>0</v>
      </c>
    </row>
    <row r="8" spans="1:14" x14ac:dyDescent="0.25">
      <c r="A8" s="2">
        <v>421786</v>
      </c>
      <c r="B8" s="22">
        <v>21091</v>
      </c>
      <c r="C8" s="1" t="s">
        <v>48</v>
      </c>
      <c r="D8" s="1" t="s">
        <v>49</v>
      </c>
      <c r="E8" s="1" t="s">
        <v>13</v>
      </c>
      <c r="F8" s="22">
        <v>32107</v>
      </c>
      <c r="G8" s="1">
        <v>2</v>
      </c>
      <c r="H8" s="1" t="s">
        <v>15</v>
      </c>
      <c r="I8" s="1">
        <v>0</v>
      </c>
      <c r="J8" s="1"/>
      <c r="K8" s="24">
        <v>40000</v>
      </c>
      <c r="L8" s="1" t="s">
        <v>46</v>
      </c>
      <c r="M8" s="3" t="s">
        <v>41</v>
      </c>
      <c r="N8">
        <f>IF(AND( Table15[[#This Row],[Salary]] &gt;= 80000, OR(Table15[[#This Row],[Last_performance_rating]] = "C", Table15[[#This Row],[Last_performance_rating]] = "PIP")) =  TRUE, 1, 0)</f>
        <v>0</v>
      </c>
    </row>
    <row r="9" spans="1:14" x14ac:dyDescent="0.25">
      <c r="A9" s="2">
        <v>57444</v>
      </c>
      <c r="B9" s="22">
        <v>21215</v>
      </c>
      <c r="C9" s="1" t="s">
        <v>52</v>
      </c>
      <c r="D9" s="1" t="s">
        <v>53</v>
      </c>
      <c r="E9" s="1" t="s">
        <v>33</v>
      </c>
      <c r="F9" s="22">
        <v>33684</v>
      </c>
      <c r="G9" s="1">
        <v>9</v>
      </c>
      <c r="H9" s="1" t="s">
        <v>29</v>
      </c>
      <c r="I9" s="1">
        <v>0</v>
      </c>
      <c r="J9" s="1"/>
      <c r="K9" s="24">
        <v>48973</v>
      </c>
      <c r="L9" s="1" t="s">
        <v>24</v>
      </c>
      <c r="M9" s="3" t="s">
        <v>55</v>
      </c>
      <c r="N9">
        <f>IF(AND( Table15[[#This Row],[Salary]] &gt;= 80000, OR(Table15[[#This Row],[Last_performance_rating]] = "C", Table15[[#This Row],[Last_performance_rating]] = "PIP")) =  TRUE, 1, 0)</f>
        <v>0</v>
      </c>
    </row>
    <row r="10" spans="1:14" x14ac:dyDescent="0.25">
      <c r="A10" s="2">
        <v>10007</v>
      </c>
      <c r="B10" s="22">
        <v>20963</v>
      </c>
      <c r="C10" s="1" t="s">
        <v>57</v>
      </c>
      <c r="D10" s="1" t="s">
        <v>58</v>
      </c>
      <c r="E10" s="1" t="s">
        <v>33</v>
      </c>
      <c r="F10" s="22">
        <v>32549</v>
      </c>
      <c r="G10" s="1">
        <v>6</v>
      </c>
      <c r="H10" s="1" t="s">
        <v>35</v>
      </c>
      <c r="I10" s="1">
        <v>1</v>
      </c>
      <c r="J10" s="22">
        <v>37517</v>
      </c>
      <c r="K10" s="24">
        <v>56724</v>
      </c>
      <c r="L10" s="1" t="s">
        <v>61</v>
      </c>
      <c r="M10" s="3" t="s">
        <v>41</v>
      </c>
      <c r="N10">
        <f>IF(AND( Table15[[#This Row],[Salary]] &gt;= 80000, OR(Table15[[#This Row],[Last_performance_rating]] = "C", Table15[[#This Row],[Last_performance_rating]] = "PIP")) =  TRUE, 1, 0)</f>
        <v>0</v>
      </c>
    </row>
    <row r="11" spans="1:14" x14ac:dyDescent="0.25">
      <c r="A11" s="2">
        <v>10008</v>
      </c>
      <c r="B11" s="22">
        <v>21235</v>
      </c>
      <c r="C11" s="1" t="s">
        <v>63</v>
      </c>
      <c r="D11" s="1" t="s">
        <v>64</v>
      </c>
      <c r="E11" s="1" t="s">
        <v>13</v>
      </c>
      <c r="F11" s="22">
        <v>34592</v>
      </c>
      <c r="G11" s="1">
        <v>9</v>
      </c>
      <c r="H11" s="1" t="s">
        <v>15</v>
      </c>
      <c r="I11" s="1">
        <v>0</v>
      </c>
      <c r="J11" s="1"/>
      <c r="K11" s="24">
        <v>46671</v>
      </c>
      <c r="L11" s="1" t="s">
        <v>17</v>
      </c>
      <c r="M11" s="3" t="s">
        <v>66</v>
      </c>
      <c r="N11">
        <f>IF(AND( Table15[[#This Row],[Salary]] &gt;= 80000, OR(Table15[[#This Row],[Last_performance_rating]] = "C", Table15[[#This Row],[Last_performance_rating]] = "PIP")) =  TRUE, 1, 0)</f>
        <v>0</v>
      </c>
    </row>
    <row r="12" spans="1:14" x14ac:dyDescent="0.25">
      <c r="A12" s="2">
        <v>282238</v>
      </c>
      <c r="B12" s="22">
        <v>19295</v>
      </c>
      <c r="C12" s="1" t="s">
        <v>68</v>
      </c>
      <c r="D12" s="1" t="s">
        <v>69</v>
      </c>
      <c r="E12" s="1" t="s">
        <v>33</v>
      </c>
      <c r="F12" s="22">
        <v>33256</v>
      </c>
      <c r="G12" s="1">
        <v>6</v>
      </c>
      <c r="H12" s="1" t="s">
        <v>35</v>
      </c>
      <c r="I12" s="1">
        <v>0</v>
      </c>
      <c r="J12" s="1"/>
      <c r="K12" s="24">
        <v>40000</v>
      </c>
      <c r="L12" s="1" t="s">
        <v>71</v>
      </c>
      <c r="M12" s="3" t="s">
        <v>18</v>
      </c>
      <c r="N12">
        <f>IF(AND( Table15[[#This Row],[Salary]] &gt;= 80000, OR(Table15[[#This Row],[Last_performance_rating]] = "C", Table15[[#This Row],[Last_performance_rating]] = "PIP")) =  TRUE, 1, 0)</f>
        <v>0</v>
      </c>
    </row>
    <row r="13" spans="1:14" x14ac:dyDescent="0.25">
      <c r="A13" s="2">
        <v>10009</v>
      </c>
      <c r="B13" s="22">
        <v>19103</v>
      </c>
      <c r="C13" s="1" t="s">
        <v>73</v>
      </c>
      <c r="D13" s="1" t="s">
        <v>74</v>
      </c>
      <c r="E13" s="1" t="s">
        <v>33</v>
      </c>
      <c r="F13" s="22">
        <v>31096</v>
      </c>
      <c r="G13" s="1">
        <v>8</v>
      </c>
      <c r="H13" s="1" t="s">
        <v>35</v>
      </c>
      <c r="I13" s="1">
        <v>0</v>
      </c>
      <c r="J13" s="1"/>
      <c r="K13" s="24">
        <v>60929</v>
      </c>
      <c r="L13" s="1" t="s">
        <v>71</v>
      </c>
      <c r="M13" s="3" t="s">
        <v>18</v>
      </c>
      <c r="N13">
        <f>IF(AND( Table15[[#This Row],[Salary]] &gt;= 80000, OR(Table15[[#This Row],[Last_performance_rating]] = "C", Table15[[#This Row],[Last_performance_rating]] = "PIP")) =  TRUE, 1, 0)</f>
        <v>0</v>
      </c>
    </row>
    <row r="14" spans="1:14" x14ac:dyDescent="0.25">
      <c r="A14" s="2">
        <v>10010</v>
      </c>
      <c r="B14" s="22">
        <v>23163</v>
      </c>
      <c r="C14" s="1" t="s">
        <v>77</v>
      </c>
      <c r="D14" s="1" t="s">
        <v>78</v>
      </c>
      <c r="E14" s="1" t="s">
        <v>33</v>
      </c>
      <c r="F14" s="22">
        <v>32744</v>
      </c>
      <c r="G14" s="1">
        <v>4</v>
      </c>
      <c r="H14" s="1" t="s">
        <v>29</v>
      </c>
      <c r="I14" s="1">
        <v>0</v>
      </c>
      <c r="J14" s="1"/>
      <c r="K14" s="24">
        <v>72488</v>
      </c>
      <c r="L14" s="1" t="s">
        <v>24</v>
      </c>
      <c r="M14" s="3" t="s">
        <v>55</v>
      </c>
      <c r="N14">
        <f>IF(AND( Table15[[#This Row],[Salary]] &gt;= 80000, OR(Table15[[#This Row],[Last_performance_rating]] = "C", Table15[[#This Row],[Last_performance_rating]] = "PIP")) =  TRUE, 1, 0)</f>
        <v>0</v>
      </c>
    </row>
    <row r="15" spans="1:14" x14ac:dyDescent="0.25">
      <c r="A15" s="2">
        <v>10010</v>
      </c>
      <c r="B15" s="22">
        <v>23163</v>
      </c>
      <c r="C15" s="1" t="s">
        <v>77</v>
      </c>
      <c r="D15" s="1" t="s">
        <v>78</v>
      </c>
      <c r="E15" s="1" t="s">
        <v>33</v>
      </c>
      <c r="F15" s="22">
        <v>32744</v>
      </c>
      <c r="G15" s="1">
        <v>4</v>
      </c>
      <c r="H15" s="1" t="s">
        <v>29</v>
      </c>
      <c r="I15" s="1">
        <v>0</v>
      </c>
      <c r="J15" s="1"/>
      <c r="K15" s="24">
        <v>72488</v>
      </c>
      <c r="L15" s="1" t="s">
        <v>71</v>
      </c>
      <c r="M15" s="3" t="s">
        <v>55</v>
      </c>
      <c r="N15">
        <f>IF(AND( Table15[[#This Row],[Salary]] &gt;= 80000, OR(Table15[[#This Row],[Last_performance_rating]] = "C", Table15[[#This Row],[Last_performance_rating]] = "PIP")) =  TRUE, 1, 0)</f>
        <v>0</v>
      </c>
    </row>
    <row r="16" spans="1:14" x14ac:dyDescent="0.25">
      <c r="A16" s="2">
        <v>263976</v>
      </c>
      <c r="B16" s="22">
        <v>21853</v>
      </c>
      <c r="C16" s="1" t="s">
        <v>81</v>
      </c>
      <c r="D16" s="1" t="s">
        <v>82</v>
      </c>
      <c r="E16" s="1" t="s">
        <v>13</v>
      </c>
      <c r="F16" s="22">
        <v>31730</v>
      </c>
      <c r="G16" s="1">
        <v>8</v>
      </c>
      <c r="H16" s="1" t="s">
        <v>35</v>
      </c>
      <c r="I16" s="1">
        <v>1</v>
      </c>
      <c r="J16" s="22">
        <v>34202</v>
      </c>
      <c r="K16" s="24">
        <v>40000</v>
      </c>
      <c r="L16" s="1" t="s">
        <v>71</v>
      </c>
      <c r="M16" s="3" t="s">
        <v>18</v>
      </c>
      <c r="N16">
        <f>IF(AND( Table15[[#This Row],[Salary]] &gt;= 80000, OR(Table15[[#This Row],[Last_performance_rating]] = "C", Table15[[#This Row],[Last_performance_rating]] = "PIP")) =  TRUE, 1, 0)</f>
        <v>0</v>
      </c>
    </row>
    <row r="17" spans="1:14" x14ac:dyDescent="0.25">
      <c r="A17" s="2">
        <v>10011</v>
      </c>
      <c r="B17" s="22">
        <v>19670</v>
      </c>
      <c r="C17" s="1" t="s">
        <v>86</v>
      </c>
      <c r="D17" s="1" t="s">
        <v>87</v>
      </c>
      <c r="E17" s="1" t="s">
        <v>33</v>
      </c>
      <c r="F17" s="22">
        <v>32895</v>
      </c>
      <c r="G17" s="1">
        <v>6</v>
      </c>
      <c r="H17" s="1" t="s">
        <v>15</v>
      </c>
      <c r="I17" s="1">
        <v>0</v>
      </c>
      <c r="J17" s="1"/>
      <c r="K17" s="24">
        <v>42365</v>
      </c>
      <c r="L17" s="1" t="s">
        <v>89</v>
      </c>
      <c r="M17" s="3" t="s">
        <v>41</v>
      </c>
      <c r="N17">
        <f>IF(AND( Table15[[#This Row],[Salary]] &gt;= 80000, OR(Table15[[#This Row],[Last_performance_rating]] = "C", Table15[[#This Row],[Last_performance_rating]] = "PIP")) =  TRUE, 1, 0)</f>
        <v>0</v>
      </c>
    </row>
    <row r="18" spans="1:14" x14ac:dyDescent="0.25">
      <c r="A18" s="2">
        <v>273487</v>
      </c>
      <c r="B18" s="22">
        <v>20924</v>
      </c>
      <c r="C18" s="1" t="s">
        <v>91</v>
      </c>
      <c r="D18" s="1" t="s">
        <v>92</v>
      </c>
      <c r="E18" s="1" t="s">
        <v>13</v>
      </c>
      <c r="F18" s="22">
        <v>33417</v>
      </c>
      <c r="G18" s="1">
        <v>10</v>
      </c>
      <c r="H18" s="1" t="s">
        <v>29</v>
      </c>
      <c r="I18" s="1">
        <v>0</v>
      </c>
      <c r="J18" s="1"/>
      <c r="K18" s="24">
        <v>56087</v>
      </c>
      <c r="L18" s="1" t="s">
        <v>46</v>
      </c>
      <c r="M18" s="3" t="s">
        <v>41</v>
      </c>
      <c r="N18">
        <f>IF(AND( Table15[[#This Row],[Salary]] &gt;= 80000, OR(Table15[[#This Row],[Last_performance_rating]] = "C", Table15[[#This Row],[Last_performance_rating]] = "PIP")) =  TRUE, 1, 0)</f>
        <v>0</v>
      </c>
    </row>
    <row r="19" spans="1:14" x14ac:dyDescent="0.25">
      <c r="A19" s="2">
        <v>10012</v>
      </c>
      <c r="B19" s="22">
        <v>22193</v>
      </c>
      <c r="C19" s="1" t="s">
        <v>95</v>
      </c>
      <c r="D19" s="1" t="s">
        <v>96</v>
      </c>
      <c r="E19" s="1" t="s">
        <v>13</v>
      </c>
      <c r="F19" s="22">
        <v>33956</v>
      </c>
      <c r="G19" s="1">
        <v>3</v>
      </c>
      <c r="H19" s="1" t="s">
        <v>29</v>
      </c>
      <c r="I19" s="1">
        <v>0</v>
      </c>
      <c r="J19" s="1"/>
      <c r="K19" s="24">
        <v>40000</v>
      </c>
      <c r="L19" s="1" t="s">
        <v>17</v>
      </c>
      <c r="M19" s="3" t="s">
        <v>18</v>
      </c>
      <c r="N19">
        <f>IF(AND( Table15[[#This Row],[Salary]] &gt;= 80000, OR(Table15[[#This Row],[Last_performance_rating]] = "C", Table15[[#This Row],[Last_performance_rating]] = "PIP")) =  TRUE, 1, 0)</f>
        <v>0</v>
      </c>
    </row>
    <row r="20" spans="1:14" x14ac:dyDescent="0.25">
      <c r="A20" s="2">
        <v>10013</v>
      </c>
      <c r="B20" s="22">
        <v>23169</v>
      </c>
      <c r="C20" s="1" t="s">
        <v>99</v>
      </c>
      <c r="D20" s="1" t="s">
        <v>100</v>
      </c>
      <c r="E20" s="1" t="s">
        <v>13</v>
      </c>
      <c r="F20" s="22">
        <v>31340</v>
      </c>
      <c r="G20" s="1">
        <v>6</v>
      </c>
      <c r="H20" s="1" t="s">
        <v>15</v>
      </c>
      <c r="I20" s="1">
        <v>0</v>
      </c>
      <c r="J20" s="1"/>
      <c r="K20" s="24">
        <v>40000</v>
      </c>
      <c r="L20" s="1" t="s">
        <v>46</v>
      </c>
      <c r="M20" s="3" t="s">
        <v>102</v>
      </c>
      <c r="N20">
        <f>IF(AND( Table15[[#This Row],[Salary]] &gt;= 80000, OR(Table15[[#This Row],[Last_performance_rating]] = "C", Table15[[#This Row],[Last_performance_rating]] = "PIP")) =  TRUE, 1, 0)</f>
        <v>0</v>
      </c>
    </row>
    <row r="21" spans="1:14" x14ac:dyDescent="0.25">
      <c r="A21" s="2">
        <v>461591</v>
      </c>
      <c r="B21" s="22">
        <v>23698</v>
      </c>
      <c r="C21" s="1" t="s">
        <v>104</v>
      </c>
      <c r="D21" s="1" t="s">
        <v>105</v>
      </c>
      <c r="E21" s="1" t="s">
        <v>13</v>
      </c>
      <c r="F21" s="22">
        <v>31364</v>
      </c>
      <c r="G21" s="1">
        <v>2</v>
      </c>
      <c r="H21" s="1" t="s">
        <v>29</v>
      </c>
      <c r="I21" s="1">
        <v>1</v>
      </c>
      <c r="J21" s="22">
        <v>34567</v>
      </c>
      <c r="K21" s="24">
        <v>40000</v>
      </c>
      <c r="L21" s="1" t="s">
        <v>108</v>
      </c>
      <c r="M21" s="3" t="s">
        <v>102</v>
      </c>
      <c r="N21">
        <f>IF(AND( Table15[[#This Row],[Salary]] &gt;= 80000, OR(Table15[[#This Row],[Last_performance_rating]] = "C", Table15[[#This Row],[Last_performance_rating]] = "PIP")) =  TRUE, 1, 0)</f>
        <v>0</v>
      </c>
    </row>
    <row r="22" spans="1:14" x14ac:dyDescent="0.25">
      <c r="A22" s="2">
        <v>10014</v>
      </c>
      <c r="B22" s="22">
        <v>20497</v>
      </c>
      <c r="C22" s="1" t="s">
        <v>110</v>
      </c>
      <c r="D22" s="1" t="s">
        <v>111</v>
      </c>
      <c r="E22" s="1" t="s">
        <v>13</v>
      </c>
      <c r="F22" s="22">
        <v>31847</v>
      </c>
      <c r="G22" s="1">
        <v>9</v>
      </c>
      <c r="H22" s="1" t="s">
        <v>35</v>
      </c>
      <c r="I22" s="1">
        <v>0</v>
      </c>
      <c r="J22" s="1"/>
      <c r="K22" s="24">
        <v>46168</v>
      </c>
      <c r="L22" s="1" t="s">
        <v>17</v>
      </c>
      <c r="M22" s="3" t="s">
        <v>55</v>
      </c>
      <c r="N22">
        <f>IF(AND( Table15[[#This Row],[Salary]] &gt;= 80000, OR(Table15[[#This Row],[Last_performance_rating]] = "C", Table15[[#This Row],[Last_performance_rating]] = "PIP")) =  TRUE, 1, 0)</f>
        <v>0</v>
      </c>
    </row>
    <row r="23" spans="1:14" x14ac:dyDescent="0.25">
      <c r="A23" s="2">
        <v>10015</v>
      </c>
      <c r="B23" s="22">
        <v>21781</v>
      </c>
      <c r="C23" s="1" t="s">
        <v>114</v>
      </c>
      <c r="D23" s="1" t="s">
        <v>115</v>
      </c>
      <c r="E23" s="1" t="s">
        <v>13</v>
      </c>
      <c r="F23" s="22">
        <v>31960</v>
      </c>
      <c r="G23" s="1">
        <v>4</v>
      </c>
      <c r="H23" s="1" t="s">
        <v>35</v>
      </c>
      <c r="I23" s="1">
        <v>0</v>
      </c>
      <c r="J23" s="1"/>
      <c r="K23" s="24">
        <v>40000</v>
      </c>
      <c r="L23" s="1" t="s">
        <v>61</v>
      </c>
      <c r="M23" s="3" t="s">
        <v>102</v>
      </c>
      <c r="N23">
        <f>IF(AND( Table15[[#This Row],[Salary]] &gt;= 80000, OR(Table15[[#This Row],[Last_performance_rating]] = "C", Table15[[#This Row],[Last_performance_rating]] = "PIP")) =  TRUE, 1, 0)</f>
        <v>0</v>
      </c>
    </row>
    <row r="24" spans="1:14" x14ac:dyDescent="0.25">
      <c r="A24" s="2">
        <v>10016</v>
      </c>
      <c r="B24" s="22">
        <v>22403</v>
      </c>
      <c r="C24" s="1" t="s">
        <v>118</v>
      </c>
      <c r="D24" s="1" t="s">
        <v>119</v>
      </c>
      <c r="E24" s="1" t="s">
        <v>13</v>
      </c>
      <c r="F24" s="22">
        <v>34726</v>
      </c>
      <c r="G24" s="1">
        <v>5</v>
      </c>
      <c r="H24" s="1" t="s">
        <v>15</v>
      </c>
      <c r="I24" s="1">
        <v>0</v>
      </c>
      <c r="J24" s="1"/>
      <c r="K24" s="24">
        <v>70889</v>
      </c>
      <c r="L24" s="1" t="s">
        <v>40</v>
      </c>
      <c r="M24" s="3" t="s">
        <v>41</v>
      </c>
      <c r="N24">
        <f>IF(AND( Table15[[#This Row],[Salary]] &gt;= 80000, OR(Table15[[#This Row],[Last_performance_rating]] = "C", Table15[[#This Row],[Last_performance_rating]] = "PIP")) =  TRUE, 1, 0)</f>
        <v>0</v>
      </c>
    </row>
    <row r="25" spans="1:14" x14ac:dyDescent="0.25">
      <c r="A25" s="2">
        <v>10017</v>
      </c>
      <c r="B25" s="22">
        <v>21372</v>
      </c>
      <c r="C25" s="1" t="s">
        <v>122</v>
      </c>
      <c r="D25" s="1" t="s">
        <v>123</v>
      </c>
      <c r="E25" s="1" t="s">
        <v>33</v>
      </c>
      <c r="F25" s="22">
        <v>34184</v>
      </c>
      <c r="G25" s="1">
        <v>10</v>
      </c>
      <c r="H25" s="1" t="s">
        <v>29</v>
      </c>
      <c r="I25" s="1">
        <v>0</v>
      </c>
      <c r="J25" s="1"/>
      <c r="K25" s="24">
        <v>71380</v>
      </c>
      <c r="L25" s="1" t="s">
        <v>125</v>
      </c>
      <c r="M25" s="3" t="s">
        <v>41</v>
      </c>
      <c r="N25">
        <f>IF(AND( Table15[[#This Row],[Salary]] &gt;= 80000, OR(Table15[[#This Row],[Last_performance_rating]] = "C", Table15[[#This Row],[Last_performance_rating]] = "PIP")) =  TRUE, 1, 0)</f>
        <v>0</v>
      </c>
    </row>
    <row r="26" spans="1:14" x14ac:dyDescent="0.25">
      <c r="A26" s="2">
        <v>219881</v>
      </c>
      <c r="B26" s="22">
        <v>20569</v>
      </c>
      <c r="C26" s="1" t="s">
        <v>127</v>
      </c>
      <c r="D26" s="1" t="s">
        <v>128</v>
      </c>
      <c r="E26" s="1" t="s">
        <v>33</v>
      </c>
      <c r="F26" s="22">
        <v>34014</v>
      </c>
      <c r="G26" s="1">
        <v>6</v>
      </c>
      <c r="H26" s="1" t="s">
        <v>35</v>
      </c>
      <c r="I26" s="1">
        <v>0</v>
      </c>
      <c r="J26" s="1"/>
      <c r="K26" s="24">
        <v>40000</v>
      </c>
      <c r="L26" s="1" t="s">
        <v>89</v>
      </c>
      <c r="M26" s="3" t="s">
        <v>102</v>
      </c>
      <c r="N26">
        <f>IF(AND( Table15[[#This Row],[Salary]] &gt;= 80000, OR(Table15[[#This Row],[Last_performance_rating]] = "C", Table15[[#This Row],[Last_performance_rating]] = "PIP")) =  TRUE, 1, 0)</f>
        <v>0</v>
      </c>
    </row>
    <row r="27" spans="1:14" x14ac:dyDescent="0.25">
      <c r="A27" s="2">
        <v>10018</v>
      </c>
      <c r="B27" s="22">
        <v>19894</v>
      </c>
      <c r="C27" s="1" t="s">
        <v>131</v>
      </c>
      <c r="D27" s="1" t="s">
        <v>132</v>
      </c>
      <c r="E27" s="1" t="s">
        <v>33</v>
      </c>
      <c r="F27" s="22">
        <v>31870</v>
      </c>
      <c r="G27" s="1">
        <v>4</v>
      </c>
      <c r="H27" s="1" t="s">
        <v>35</v>
      </c>
      <c r="I27" s="1">
        <v>0</v>
      </c>
      <c r="J27" s="1"/>
      <c r="K27" s="24">
        <v>55881</v>
      </c>
      <c r="L27" s="1" t="s">
        <v>24</v>
      </c>
      <c r="M27" s="3" t="s">
        <v>18</v>
      </c>
      <c r="N27">
        <f>IF(AND( Table15[[#This Row],[Salary]] &gt;= 80000, OR(Table15[[#This Row],[Last_performance_rating]] = "C", Table15[[#This Row],[Last_performance_rating]] = "PIP")) =  TRUE, 1, 0)</f>
        <v>0</v>
      </c>
    </row>
    <row r="28" spans="1:14" x14ac:dyDescent="0.25">
      <c r="A28" s="2">
        <v>10018</v>
      </c>
      <c r="B28" s="22">
        <v>19894</v>
      </c>
      <c r="C28" s="1" t="s">
        <v>131</v>
      </c>
      <c r="D28" s="1" t="s">
        <v>132</v>
      </c>
      <c r="E28" s="1" t="s">
        <v>33</v>
      </c>
      <c r="F28" s="22">
        <v>31870</v>
      </c>
      <c r="G28" s="1">
        <v>4</v>
      </c>
      <c r="H28" s="1" t="s">
        <v>35</v>
      </c>
      <c r="I28" s="1">
        <v>0</v>
      </c>
      <c r="J28" s="1"/>
      <c r="K28" s="24">
        <v>55881</v>
      </c>
      <c r="L28" s="1" t="s">
        <v>17</v>
      </c>
      <c r="M28" s="3" t="s">
        <v>18</v>
      </c>
      <c r="N28">
        <f>IF(AND( Table15[[#This Row],[Salary]] &gt;= 80000, OR(Table15[[#This Row],[Last_performance_rating]] = "C", Table15[[#This Row],[Last_performance_rating]] = "PIP")) =  TRUE, 1, 0)</f>
        <v>0</v>
      </c>
    </row>
    <row r="29" spans="1:14" x14ac:dyDescent="0.25">
      <c r="A29" s="2">
        <v>29920</v>
      </c>
      <c r="B29" s="22">
        <v>22646</v>
      </c>
      <c r="C29" s="1" t="s">
        <v>135</v>
      </c>
      <c r="D29" s="1" t="s">
        <v>136</v>
      </c>
      <c r="E29" s="1" t="s">
        <v>33</v>
      </c>
      <c r="F29" s="22">
        <v>34716</v>
      </c>
      <c r="G29" s="1">
        <v>1</v>
      </c>
      <c r="H29" s="1" t="s">
        <v>138</v>
      </c>
      <c r="I29" s="1">
        <v>0</v>
      </c>
      <c r="J29" s="1"/>
      <c r="K29" s="24">
        <v>40000</v>
      </c>
      <c r="L29" s="1" t="s">
        <v>24</v>
      </c>
      <c r="M29" s="3" t="s">
        <v>55</v>
      </c>
      <c r="N29">
        <f>IF(AND( Table15[[#This Row],[Salary]] &gt;= 80000, OR(Table15[[#This Row],[Last_performance_rating]] = "C", Table15[[#This Row],[Last_performance_rating]] = "PIP")) =  TRUE, 1, 0)</f>
        <v>0</v>
      </c>
    </row>
    <row r="30" spans="1:14" x14ac:dyDescent="0.25">
      <c r="A30" s="2">
        <v>10019</v>
      </c>
      <c r="B30" s="22">
        <v>19382</v>
      </c>
      <c r="C30" s="1" t="s">
        <v>140</v>
      </c>
      <c r="D30" s="1" t="s">
        <v>141</v>
      </c>
      <c r="E30" s="1" t="s">
        <v>13</v>
      </c>
      <c r="F30" s="22">
        <v>36280</v>
      </c>
      <c r="G30" s="1">
        <v>4</v>
      </c>
      <c r="H30" s="1" t="s">
        <v>35</v>
      </c>
      <c r="I30" s="1">
        <v>0</v>
      </c>
      <c r="J30" s="1"/>
      <c r="K30" s="24">
        <v>44276</v>
      </c>
      <c r="L30" s="1" t="s">
        <v>61</v>
      </c>
      <c r="M30" s="3" t="s">
        <v>41</v>
      </c>
      <c r="N30">
        <f>IF(AND( Table15[[#This Row],[Salary]] &gt;= 80000, OR(Table15[[#This Row],[Last_performance_rating]] = "C", Table15[[#This Row],[Last_performance_rating]] = "PIP")) =  TRUE, 1, 0)</f>
        <v>0</v>
      </c>
    </row>
    <row r="31" spans="1:14" x14ac:dyDescent="0.25">
      <c r="A31" s="2">
        <v>10020</v>
      </c>
      <c r="B31" s="22">
        <v>19352</v>
      </c>
      <c r="C31" s="1" t="s">
        <v>144</v>
      </c>
      <c r="D31" s="1" t="s">
        <v>145</v>
      </c>
      <c r="E31" s="1" t="s">
        <v>13</v>
      </c>
      <c r="F31" s="22">
        <v>33264</v>
      </c>
      <c r="G31" s="1">
        <v>7</v>
      </c>
      <c r="H31" s="1" t="s">
        <v>35</v>
      </c>
      <c r="I31" s="1">
        <v>0</v>
      </c>
      <c r="J31" s="1"/>
      <c r="K31" s="24">
        <v>40000</v>
      </c>
      <c r="L31" s="1" t="s">
        <v>24</v>
      </c>
      <c r="M31" s="3" t="s">
        <v>55</v>
      </c>
      <c r="N31">
        <f>IF(AND( Table15[[#This Row],[Salary]] &gt;= 80000, OR(Table15[[#This Row],[Last_performance_rating]] = "C", Table15[[#This Row],[Last_performance_rating]] = "PIP")) =  TRUE, 1, 0)</f>
        <v>0</v>
      </c>
    </row>
    <row r="32" spans="1:14" x14ac:dyDescent="0.25">
      <c r="A32" s="2">
        <v>208153</v>
      </c>
      <c r="B32" s="22">
        <v>22579</v>
      </c>
      <c r="C32" s="1" t="s">
        <v>148</v>
      </c>
      <c r="D32" s="1" t="s">
        <v>149</v>
      </c>
      <c r="E32" s="1" t="s">
        <v>13</v>
      </c>
      <c r="F32" s="22">
        <v>32606</v>
      </c>
      <c r="G32" s="1">
        <v>8</v>
      </c>
      <c r="H32" s="1" t="s">
        <v>15</v>
      </c>
      <c r="I32" s="1">
        <v>1</v>
      </c>
      <c r="J32" s="22">
        <v>36740</v>
      </c>
      <c r="K32" s="24">
        <v>50183</v>
      </c>
      <c r="L32" s="1" t="s">
        <v>17</v>
      </c>
      <c r="M32" s="3" t="s">
        <v>18</v>
      </c>
      <c r="N32">
        <f>IF(AND( Table15[[#This Row],[Salary]] &gt;= 80000, OR(Table15[[#This Row],[Last_performance_rating]] = "C", Table15[[#This Row],[Last_performance_rating]] = "PIP")) =  TRUE, 1, 0)</f>
        <v>0</v>
      </c>
    </row>
    <row r="33" spans="1:14" x14ac:dyDescent="0.25">
      <c r="A33" s="2">
        <v>10021</v>
      </c>
      <c r="B33" s="22">
        <v>21966</v>
      </c>
      <c r="C33" s="1" t="s">
        <v>153</v>
      </c>
      <c r="D33" s="1" t="s">
        <v>154</v>
      </c>
      <c r="E33" s="1" t="s">
        <v>13</v>
      </c>
      <c r="F33" s="22">
        <v>32183</v>
      </c>
      <c r="G33" s="1">
        <v>1</v>
      </c>
      <c r="H33" s="1" t="s">
        <v>35</v>
      </c>
      <c r="I33" s="1">
        <v>0</v>
      </c>
      <c r="J33" s="1"/>
      <c r="K33" s="24">
        <v>55025</v>
      </c>
      <c r="L33" s="1" t="s">
        <v>17</v>
      </c>
      <c r="M33" s="3" t="s">
        <v>156</v>
      </c>
      <c r="N33">
        <f>IF(AND( Table15[[#This Row],[Salary]] &gt;= 80000, OR(Table15[[#This Row],[Last_performance_rating]] = "C", Table15[[#This Row],[Last_performance_rating]] = "PIP")) =  TRUE, 1, 0)</f>
        <v>0</v>
      </c>
    </row>
    <row r="34" spans="1:14" x14ac:dyDescent="0.25">
      <c r="A34" s="2">
        <v>10022</v>
      </c>
      <c r="B34" s="22">
        <v>19183</v>
      </c>
      <c r="C34" s="1" t="s">
        <v>158</v>
      </c>
      <c r="D34" s="1" t="s">
        <v>159</v>
      </c>
      <c r="E34" s="1" t="s">
        <v>13</v>
      </c>
      <c r="F34" s="22">
        <v>34933</v>
      </c>
      <c r="G34" s="1">
        <v>9</v>
      </c>
      <c r="H34" s="1" t="s">
        <v>35</v>
      </c>
      <c r="I34" s="1">
        <v>1</v>
      </c>
      <c r="J34" s="22">
        <v>38660</v>
      </c>
      <c r="K34" s="24">
        <v>40000</v>
      </c>
      <c r="L34" s="1" t="s">
        <v>17</v>
      </c>
      <c r="M34" s="3" t="s">
        <v>55</v>
      </c>
      <c r="N34">
        <f>IF(AND( Table15[[#This Row],[Salary]] &gt;= 80000, OR(Table15[[#This Row],[Last_performance_rating]] = "C", Table15[[#This Row],[Last_performance_rating]] = "PIP")) =  TRUE, 1, 0)</f>
        <v>0</v>
      </c>
    </row>
    <row r="35" spans="1:14" x14ac:dyDescent="0.25">
      <c r="A35" s="2">
        <v>13616</v>
      </c>
      <c r="B35" s="22">
        <v>22523</v>
      </c>
      <c r="C35" s="1" t="s">
        <v>163</v>
      </c>
      <c r="D35" s="1" t="s">
        <v>164</v>
      </c>
      <c r="E35" s="1" t="s">
        <v>33</v>
      </c>
      <c r="F35" s="22">
        <v>33453</v>
      </c>
      <c r="G35" s="1">
        <v>7</v>
      </c>
      <c r="H35" s="1" t="s">
        <v>15</v>
      </c>
      <c r="I35" s="1">
        <v>0</v>
      </c>
      <c r="J35" s="1"/>
      <c r="K35" s="24">
        <v>40000</v>
      </c>
      <c r="L35" s="1" t="s">
        <v>17</v>
      </c>
      <c r="M35" s="3" t="s">
        <v>18</v>
      </c>
      <c r="N35">
        <f>IF(AND( Table15[[#This Row],[Salary]] &gt;= 80000, OR(Table15[[#This Row],[Last_performance_rating]] = "C", Table15[[#This Row],[Last_performance_rating]] = "PIP")) =  TRUE, 1, 0)</f>
        <v>0</v>
      </c>
    </row>
    <row r="36" spans="1:14" x14ac:dyDescent="0.25">
      <c r="A36" s="2">
        <v>13616</v>
      </c>
      <c r="B36" s="22">
        <v>22523</v>
      </c>
      <c r="C36" s="1" t="s">
        <v>163</v>
      </c>
      <c r="D36" s="1" t="s">
        <v>164</v>
      </c>
      <c r="E36" s="1" t="s">
        <v>33</v>
      </c>
      <c r="F36" s="22">
        <v>33453</v>
      </c>
      <c r="G36" s="1">
        <v>7</v>
      </c>
      <c r="H36" s="1" t="s">
        <v>15</v>
      </c>
      <c r="I36" s="1">
        <v>0</v>
      </c>
      <c r="J36" s="1"/>
      <c r="K36" s="24">
        <v>40000</v>
      </c>
      <c r="L36" s="1" t="s">
        <v>61</v>
      </c>
      <c r="M36" s="3" t="s">
        <v>18</v>
      </c>
      <c r="N36">
        <f>IF(AND( Table15[[#This Row],[Salary]] &gt;= 80000, OR(Table15[[#This Row],[Last_performance_rating]] = "C", Table15[[#This Row],[Last_performance_rating]] = "PIP")) =  TRUE, 1, 0)</f>
        <v>0</v>
      </c>
    </row>
    <row r="37" spans="1:14" x14ac:dyDescent="0.25">
      <c r="A37" s="2">
        <v>10023</v>
      </c>
      <c r="B37" s="22">
        <v>19631</v>
      </c>
      <c r="C37" s="1" t="s">
        <v>167</v>
      </c>
      <c r="D37" s="1" t="s">
        <v>168</v>
      </c>
      <c r="E37" s="1" t="s">
        <v>33</v>
      </c>
      <c r="F37" s="22">
        <v>32859</v>
      </c>
      <c r="G37" s="1">
        <v>8</v>
      </c>
      <c r="H37" s="1" t="s">
        <v>29</v>
      </c>
      <c r="I37" s="1">
        <v>0</v>
      </c>
      <c r="J37" s="1"/>
      <c r="K37" s="24">
        <v>47883</v>
      </c>
      <c r="L37" s="1" t="s">
        <v>17</v>
      </c>
      <c r="M37" s="3" t="s">
        <v>55</v>
      </c>
      <c r="N37">
        <f>IF(AND( Table15[[#This Row],[Salary]] &gt;= 80000, OR(Table15[[#This Row],[Last_performance_rating]] = "C", Table15[[#This Row],[Last_performance_rating]] = "PIP")) =  TRUE, 1, 0)</f>
        <v>0</v>
      </c>
    </row>
    <row r="38" spans="1:14" x14ac:dyDescent="0.25">
      <c r="A38" s="2">
        <v>10024</v>
      </c>
      <c r="B38" s="22">
        <v>21433</v>
      </c>
      <c r="C38" s="1" t="s">
        <v>171</v>
      </c>
      <c r="D38" s="1" t="s">
        <v>172</v>
      </c>
      <c r="E38" s="1" t="s">
        <v>33</v>
      </c>
      <c r="F38" s="22">
        <v>35569</v>
      </c>
      <c r="G38" s="1">
        <v>3</v>
      </c>
      <c r="H38" s="1" t="s">
        <v>29</v>
      </c>
      <c r="I38" s="1">
        <v>0</v>
      </c>
      <c r="J38" s="1"/>
      <c r="K38" s="24">
        <v>83733</v>
      </c>
      <c r="L38" s="1" t="s">
        <v>24</v>
      </c>
      <c r="M38" s="3" t="s">
        <v>66</v>
      </c>
      <c r="N38">
        <f>IF(AND( Table15[[#This Row],[Salary]] &gt;= 80000, OR(Table15[[#This Row],[Last_performance_rating]] = "C", Table15[[#This Row],[Last_performance_rating]] = "PIP")) =  TRUE, 1, 0)</f>
        <v>0</v>
      </c>
    </row>
    <row r="39" spans="1:14" x14ac:dyDescent="0.25">
      <c r="A39" s="2">
        <v>246449</v>
      </c>
      <c r="B39" s="22">
        <v>21267</v>
      </c>
      <c r="C39" s="1" t="s">
        <v>175</v>
      </c>
      <c r="D39" s="1" t="s">
        <v>176</v>
      </c>
      <c r="E39" s="1" t="s">
        <v>33</v>
      </c>
      <c r="F39" s="22">
        <v>32227</v>
      </c>
      <c r="G39" s="1">
        <v>9</v>
      </c>
      <c r="H39" s="1" t="s">
        <v>15</v>
      </c>
      <c r="I39" s="1">
        <v>0</v>
      </c>
      <c r="J39" s="1"/>
      <c r="K39" s="24">
        <v>87084</v>
      </c>
      <c r="L39" s="1" t="s">
        <v>40</v>
      </c>
      <c r="M39" s="3" t="s">
        <v>41</v>
      </c>
      <c r="N39">
        <f>IF(AND( Table15[[#This Row],[Salary]] &gt;= 80000, OR(Table15[[#This Row],[Last_performance_rating]] = "C", Table15[[#This Row],[Last_performance_rating]] = "PIP")) =  TRUE, 1, 0)</f>
        <v>1</v>
      </c>
    </row>
    <row r="40" spans="1:14" x14ac:dyDescent="0.25">
      <c r="A40" s="2">
        <v>10025</v>
      </c>
      <c r="B40" s="22">
        <v>21489</v>
      </c>
      <c r="C40" s="1" t="s">
        <v>179</v>
      </c>
      <c r="D40" s="1" t="s">
        <v>180</v>
      </c>
      <c r="E40" s="1" t="s">
        <v>13</v>
      </c>
      <c r="F40" s="22">
        <v>32006</v>
      </c>
      <c r="G40" s="1">
        <v>6</v>
      </c>
      <c r="H40" s="1" t="s">
        <v>15</v>
      </c>
      <c r="I40" s="1">
        <v>0</v>
      </c>
      <c r="J40" s="1"/>
      <c r="K40" s="24">
        <v>40000</v>
      </c>
      <c r="L40" s="1" t="s">
        <v>17</v>
      </c>
      <c r="M40" s="3" t="s">
        <v>156</v>
      </c>
      <c r="N40">
        <f>IF(AND( Table15[[#This Row],[Salary]] &gt;= 80000, OR(Table15[[#This Row],[Last_performance_rating]] = "C", Table15[[#This Row],[Last_performance_rating]] = "PIP")) =  TRUE, 1, 0)</f>
        <v>0</v>
      </c>
    </row>
    <row r="41" spans="1:14" x14ac:dyDescent="0.25">
      <c r="A41" s="2">
        <v>10026</v>
      </c>
      <c r="B41" s="22">
        <v>19452</v>
      </c>
      <c r="C41" s="1" t="s">
        <v>183</v>
      </c>
      <c r="D41" s="1" t="s">
        <v>184</v>
      </c>
      <c r="E41" s="1" t="s">
        <v>13</v>
      </c>
      <c r="F41" s="22">
        <v>34778</v>
      </c>
      <c r="G41" s="1">
        <v>1</v>
      </c>
      <c r="H41" s="1" t="s">
        <v>138</v>
      </c>
      <c r="I41" s="1">
        <v>0</v>
      </c>
      <c r="J41" s="1"/>
      <c r="K41" s="24">
        <v>47585</v>
      </c>
      <c r="L41" s="1" t="s">
        <v>24</v>
      </c>
      <c r="M41" s="3" t="s">
        <v>18</v>
      </c>
      <c r="N41">
        <f>IF(AND( Table15[[#This Row],[Salary]] &gt;= 80000, OR(Table15[[#This Row],[Last_performance_rating]] = "C", Table15[[#This Row],[Last_performance_rating]] = "PIP")) =  TRUE, 1, 0)</f>
        <v>0</v>
      </c>
    </row>
    <row r="42" spans="1:14" x14ac:dyDescent="0.25">
      <c r="A42" s="2">
        <v>21529</v>
      </c>
      <c r="B42" s="22">
        <v>21689</v>
      </c>
      <c r="C42" s="1" t="s">
        <v>167</v>
      </c>
      <c r="D42" s="1" t="s">
        <v>187</v>
      </c>
      <c r="E42" s="1" t="s">
        <v>13</v>
      </c>
      <c r="F42" s="22">
        <v>31699</v>
      </c>
      <c r="G42" s="1">
        <v>7</v>
      </c>
      <c r="H42" s="1" t="s">
        <v>15</v>
      </c>
      <c r="I42" s="1">
        <v>0</v>
      </c>
      <c r="J42" s="1"/>
      <c r="K42" s="24">
        <v>40000</v>
      </c>
      <c r="L42" s="1" t="s">
        <v>17</v>
      </c>
      <c r="M42" s="3" t="s">
        <v>55</v>
      </c>
      <c r="N42">
        <f>IF(AND( Table15[[#This Row],[Salary]] &gt;= 80000, OR(Table15[[#This Row],[Last_performance_rating]] = "C", Table15[[#This Row],[Last_performance_rating]] = "PIP")) =  TRUE, 1, 0)</f>
        <v>0</v>
      </c>
    </row>
    <row r="43" spans="1:14" x14ac:dyDescent="0.25">
      <c r="A43" s="2">
        <v>10027</v>
      </c>
      <c r="B43" s="22">
        <v>22837</v>
      </c>
      <c r="C43" s="1" t="s">
        <v>190</v>
      </c>
      <c r="D43" s="1" t="s">
        <v>191</v>
      </c>
      <c r="E43" s="1" t="s">
        <v>33</v>
      </c>
      <c r="F43" s="22">
        <v>32696</v>
      </c>
      <c r="G43" s="1">
        <v>10</v>
      </c>
      <c r="H43" s="1" t="s">
        <v>35</v>
      </c>
      <c r="I43" s="1">
        <v>0</v>
      </c>
      <c r="J43" s="1"/>
      <c r="K43" s="24">
        <v>40000</v>
      </c>
      <c r="L43" s="1" t="s">
        <v>17</v>
      </c>
      <c r="M43" s="3" t="s">
        <v>18</v>
      </c>
      <c r="N43">
        <f>IF(AND( Table15[[#This Row],[Salary]] &gt;= 80000, OR(Table15[[#This Row],[Last_performance_rating]] = "C", Table15[[#This Row],[Last_performance_rating]] = "PIP")) =  TRUE, 1, 0)</f>
        <v>0</v>
      </c>
    </row>
    <row r="44" spans="1:14" x14ac:dyDescent="0.25">
      <c r="A44" s="2">
        <v>10028</v>
      </c>
      <c r="B44" s="22">
        <v>23341</v>
      </c>
      <c r="C44" s="1" t="s">
        <v>194</v>
      </c>
      <c r="D44" s="1" t="s">
        <v>195</v>
      </c>
      <c r="E44" s="1" t="s">
        <v>13</v>
      </c>
      <c r="F44" s="22">
        <v>33533</v>
      </c>
      <c r="G44" s="1">
        <v>8</v>
      </c>
      <c r="H44" s="1" t="s">
        <v>35</v>
      </c>
      <c r="I44" s="1">
        <v>0</v>
      </c>
      <c r="J44" s="1"/>
      <c r="K44" s="24">
        <v>48859</v>
      </c>
      <c r="L44" s="1" t="s">
        <v>17</v>
      </c>
      <c r="M44" s="3" t="s">
        <v>55</v>
      </c>
      <c r="N44">
        <f>IF(AND( Table15[[#This Row],[Salary]] &gt;= 80000, OR(Table15[[#This Row],[Last_performance_rating]] = "C", Table15[[#This Row],[Last_performance_rating]] = "PIP")) =  TRUE, 1, 0)</f>
        <v>0</v>
      </c>
    </row>
    <row r="45" spans="1:14" x14ac:dyDescent="0.25">
      <c r="A45" s="2">
        <v>17934</v>
      </c>
      <c r="B45" s="22">
        <v>23204</v>
      </c>
      <c r="C45" s="1" t="s">
        <v>198</v>
      </c>
      <c r="D45" s="1" t="s">
        <v>199</v>
      </c>
      <c r="E45" s="1" t="s">
        <v>13</v>
      </c>
      <c r="F45" s="22">
        <v>34248</v>
      </c>
      <c r="G45" s="1">
        <v>7</v>
      </c>
      <c r="H45" s="1" t="s">
        <v>15</v>
      </c>
      <c r="I45" s="1">
        <v>0</v>
      </c>
      <c r="J45" s="1"/>
      <c r="K45" s="24">
        <v>48795</v>
      </c>
      <c r="L45" s="1" t="s">
        <v>17</v>
      </c>
      <c r="M45" s="3" t="s">
        <v>156</v>
      </c>
      <c r="N45">
        <f>IF(AND( Table15[[#This Row],[Salary]] &gt;= 80000, OR(Table15[[#This Row],[Last_performance_rating]] = "C", Table15[[#This Row],[Last_performance_rating]] = "PIP")) =  TRUE, 1, 0)</f>
        <v>0</v>
      </c>
    </row>
    <row r="46" spans="1:14" x14ac:dyDescent="0.25">
      <c r="A46" s="2">
        <v>10029</v>
      </c>
      <c r="B46" s="22">
        <v>20802</v>
      </c>
      <c r="C46" s="1" t="s">
        <v>202</v>
      </c>
      <c r="D46" s="1" t="s">
        <v>203</v>
      </c>
      <c r="E46" s="1" t="s">
        <v>13</v>
      </c>
      <c r="F46" s="22">
        <v>31371</v>
      </c>
      <c r="G46" s="1">
        <v>6</v>
      </c>
      <c r="H46" s="1" t="s">
        <v>15</v>
      </c>
      <c r="I46" s="1">
        <v>0</v>
      </c>
      <c r="J46" s="1"/>
      <c r="K46" s="24">
        <v>63163</v>
      </c>
      <c r="L46" s="1" t="s">
        <v>24</v>
      </c>
      <c r="M46" s="3" t="s">
        <v>18</v>
      </c>
      <c r="N46">
        <f>IF(AND( Table15[[#This Row],[Salary]] &gt;= 80000, OR(Table15[[#This Row],[Last_performance_rating]] = "C", Table15[[#This Row],[Last_performance_rating]] = "PIP")) =  TRUE, 1, 0)</f>
        <v>0</v>
      </c>
    </row>
    <row r="47" spans="1:14" x14ac:dyDescent="0.25">
      <c r="A47" s="2">
        <v>10029</v>
      </c>
      <c r="B47" s="22">
        <v>20802</v>
      </c>
      <c r="C47" s="1" t="s">
        <v>202</v>
      </c>
      <c r="D47" s="1" t="s">
        <v>203</v>
      </c>
      <c r="E47" s="1" t="s">
        <v>13</v>
      </c>
      <c r="F47" s="22">
        <v>31371</v>
      </c>
      <c r="G47" s="1">
        <v>6</v>
      </c>
      <c r="H47" s="1" t="s">
        <v>15</v>
      </c>
      <c r="I47" s="1">
        <v>0</v>
      </c>
      <c r="J47" s="1"/>
      <c r="K47" s="24">
        <v>63163</v>
      </c>
      <c r="L47" s="1" t="s">
        <v>71</v>
      </c>
      <c r="M47" s="3" t="s">
        <v>18</v>
      </c>
      <c r="N47">
        <f>IF(AND( Table15[[#This Row],[Salary]] &gt;= 80000, OR(Table15[[#This Row],[Last_performance_rating]] = "C", Table15[[#This Row],[Last_performance_rating]] = "PIP")) =  TRUE, 1, 0)</f>
        <v>0</v>
      </c>
    </row>
    <row r="48" spans="1:14" x14ac:dyDescent="0.25">
      <c r="A48" s="2">
        <v>48085</v>
      </c>
      <c r="B48" s="22">
        <v>23395</v>
      </c>
      <c r="C48" s="1" t="s">
        <v>206</v>
      </c>
      <c r="D48" s="1" t="s">
        <v>207</v>
      </c>
      <c r="E48" s="1" t="s">
        <v>13</v>
      </c>
      <c r="F48" s="22">
        <v>34148</v>
      </c>
      <c r="G48" s="1">
        <v>9</v>
      </c>
      <c r="H48" s="1" t="s">
        <v>35</v>
      </c>
      <c r="I48" s="1">
        <v>0</v>
      </c>
      <c r="J48" s="1"/>
      <c r="K48" s="24">
        <v>63016</v>
      </c>
      <c r="L48" s="1" t="s">
        <v>108</v>
      </c>
      <c r="M48" s="3" t="s">
        <v>41</v>
      </c>
      <c r="N48">
        <f>IF(AND( Table15[[#This Row],[Salary]] &gt;= 80000, OR(Table15[[#This Row],[Last_performance_rating]] = "C", Table15[[#This Row],[Last_performance_rating]] = "PIP")) =  TRUE, 1, 0)</f>
        <v>0</v>
      </c>
    </row>
    <row r="49" spans="1:14" x14ac:dyDescent="0.25">
      <c r="A49" s="2">
        <v>10030</v>
      </c>
      <c r="B49" s="22">
        <v>21380</v>
      </c>
      <c r="C49" s="1" t="s">
        <v>210</v>
      </c>
      <c r="D49" s="1" t="s">
        <v>211</v>
      </c>
      <c r="E49" s="1" t="s">
        <v>13</v>
      </c>
      <c r="F49" s="22">
        <v>34382</v>
      </c>
      <c r="G49" s="1">
        <v>10</v>
      </c>
      <c r="H49" s="1" t="s">
        <v>29</v>
      </c>
      <c r="I49" s="1">
        <v>0</v>
      </c>
      <c r="J49" s="1"/>
      <c r="K49" s="24">
        <v>66956</v>
      </c>
      <c r="L49" s="1" t="s">
        <v>24</v>
      </c>
      <c r="M49" s="3" t="s">
        <v>18</v>
      </c>
      <c r="N49">
        <f>IF(AND( Table15[[#This Row],[Salary]] &gt;= 80000, OR(Table15[[#This Row],[Last_performance_rating]] = "C", Table15[[#This Row],[Last_performance_rating]] = "PIP")) =  TRUE, 1, 0)</f>
        <v>0</v>
      </c>
    </row>
    <row r="50" spans="1:14" x14ac:dyDescent="0.25">
      <c r="A50" s="2">
        <v>10031</v>
      </c>
      <c r="B50" s="22">
        <v>21577</v>
      </c>
      <c r="C50" s="1" t="s">
        <v>214</v>
      </c>
      <c r="D50" s="1" t="s">
        <v>215</v>
      </c>
      <c r="E50" s="1" t="s">
        <v>13</v>
      </c>
      <c r="F50" s="22">
        <v>33482</v>
      </c>
      <c r="G50" s="1">
        <v>2</v>
      </c>
      <c r="H50" s="1" t="s">
        <v>15</v>
      </c>
      <c r="I50" s="1">
        <v>1</v>
      </c>
      <c r="J50" s="22">
        <v>36375</v>
      </c>
      <c r="K50" s="24">
        <v>40000</v>
      </c>
      <c r="L50" s="1" t="s">
        <v>17</v>
      </c>
      <c r="M50" s="3" t="s">
        <v>18</v>
      </c>
      <c r="N50">
        <f>IF(AND( Table15[[#This Row],[Salary]] &gt;= 80000, OR(Table15[[#This Row],[Last_performance_rating]] = "C", Table15[[#This Row],[Last_performance_rating]] = "PIP")) =  TRUE, 1, 0)</f>
        <v>0</v>
      </c>
    </row>
    <row r="51" spans="1:14" x14ac:dyDescent="0.25">
      <c r="A51" s="2">
        <v>239838</v>
      </c>
      <c r="B51" s="22">
        <v>21165</v>
      </c>
      <c r="C51" s="1" t="s">
        <v>219</v>
      </c>
      <c r="D51" s="1" t="s">
        <v>220</v>
      </c>
      <c r="E51" s="1" t="s">
        <v>13</v>
      </c>
      <c r="F51" s="22">
        <v>34126</v>
      </c>
      <c r="G51" s="1">
        <v>3</v>
      </c>
      <c r="H51" s="1" t="s">
        <v>29</v>
      </c>
      <c r="I51" s="1">
        <v>0</v>
      </c>
      <c r="J51" s="1"/>
      <c r="K51" s="24">
        <v>57715</v>
      </c>
      <c r="L51" s="1" t="s">
        <v>24</v>
      </c>
      <c r="M51" s="3" t="s">
        <v>55</v>
      </c>
      <c r="N51">
        <f>IF(AND( Table15[[#This Row],[Salary]] &gt;= 80000, OR(Table15[[#This Row],[Last_performance_rating]] = "C", Table15[[#This Row],[Last_performance_rating]] = "PIP")) =  TRUE, 1, 0)</f>
        <v>0</v>
      </c>
    </row>
    <row r="52" spans="1:14" x14ac:dyDescent="0.25">
      <c r="A52" s="2">
        <v>10032</v>
      </c>
      <c r="B52" s="22">
        <v>22137</v>
      </c>
      <c r="C52" s="1" t="s">
        <v>223</v>
      </c>
      <c r="D52" s="1" t="s">
        <v>191</v>
      </c>
      <c r="E52" s="1" t="s">
        <v>33</v>
      </c>
      <c r="F52" s="22">
        <v>33044</v>
      </c>
      <c r="G52" s="1">
        <v>9</v>
      </c>
      <c r="H52" s="1" t="s">
        <v>15</v>
      </c>
      <c r="I52" s="1">
        <v>0</v>
      </c>
      <c r="J52" s="1"/>
      <c r="K52" s="24">
        <v>48426</v>
      </c>
      <c r="L52" s="1" t="s">
        <v>24</v>
      </c>
      <c r="M52" s="3" t="s">
        <v>18</v>
      </c>
      <c r="N52">
        <f>IF(AND( Table15[[#This Row],[Salary]] &gt;= 80000, OR(Table15[[#This Row],[Last_performance_rating]] = "C", Table15[[#This Row],[Last_performance_rating]] = "PIP")) =  TRUE, 1, 0)</f>
        <v>0</v>
      </c>
    </row>
    <row r="53" spans="1:14" x14ac:dyDescent="0.25">
      <c r="A53" s="2">
        <v>10033</v>
      </c>
      <c r="B53" s="22">
        <v>20773</v>
      </c>
      <c r="C53" s="1" t="s">
        <v>226</v>
      </c>
      <c r="D53" s="1" t="s">
        <v>227</v>
      </c>
      <c r="E53" s="1" t="s">
        <v>13</v>
      </c>
      <c r="F53" s="22">
        <v>31854</v>
      </c>
      <c r="G53" s="1">
        <v>9</v>
      </c>
      <c r="H53" s="1" t="s">
        <v>29</v>
      </c>
      <c r="I53" s="1">
        <v>0</v>
      </c>
      <c r="J53" s="1"/>
      <c r="K53" s="24">
        <v>51258</v>
      </c>
      <c r="L53" s="1" t="s">
        <v>71</v>
      </c>
      <c r="M53" s="3" t="s">
        <v>156</v>
      </c>
      <c r="N53">
        <f>IF(AND( Table15[[#This Row],[Salary]] &gt;= 80000, OR(Table15[[#This Row],[Last_performance_rating]] = "C", Table15[[#This Row],[Last_performance_rating]] = "PIP")) =  TRUE, 1, 0)</f>
        <v>0</v>
      </c>
    </row>
    <row r="54" spans="1:14" x14ac:dyDescent="0.25">
      <c r="A54" s="2">
        <v>240129</v>
      </c>
      <c r="B54" s="22">
        <v>19217</v>
      </c>
      <c r="C54" s="1" t="s">
        <v>230</v>
      </c>
      <c r="D54" s="1" t="s">
        <v>231</v>
      </c>
      <c r="E54" s="1" t="s">
        <v>13</v>
      </c>
      <c r="F54" s="22">
        <v>31196</v>
      </c>
      <c r="G54" s="1">
        <v>10</v>
      </c>
      <c r="H54" s="1" t="s">
        <v>15</v>
      </c>
      <c r="I54" s="1">
        <v>0</v>
      </c>
      <c r="J54" s="1"/>
      <c r="K54" s="24">
        <v>43548</v>
      </c>
      <c r="L54" s="1" t="s">
        <v>71</v>
      </c>
      <c r="M54" s="3" t="s">
        <v>156</v>
      </c>
      <c r="N54">
        <f>IF(AND( Table15[[#This Row],[Salary]] &gt;= 80000, OR(Table15[[#This Row],[Last_performance_rating]] = "C", Table15[[#This Row],[Last_performance_rating]] = "PIP")) =  TRUE, 1, 0)</f>
        <v>0</v>
      </c>
    </row>
    <row r="55" spans="1:14" x14ac:dyDescent="0.25">
      <c r="A55" s="2">
        <v>10034</v>
      </c>
      <c r="B55" s="22">
        <v>23009</v>
      </c>
      <c r="C55" s="1" t="s">
        <v>234</v>
      </c>
      <c r="D55" s="1" t="s">
        <v>235</v>
      </c>
      <c r="E55" s="1" t="s">
        <v>13</v>
      </c>
      <c r="F55" s="22">
        <v>32407</v>
      </c>
      <c r="G55" s="1">
        <v>8</v>
      </c>
      <c r="H55" s="1" t="s">
        <v>15</v>
      </c>
      <c r="I55" s="1">
        <v>0</v>
      </c>
      <c r="J55" s="1"/>
      <c r="K55" s="24">
        <v>47561</v>
      </c>
      <c r="L55" s="1" t="s">
        <v>40</v>
      </c>
      <c r="M55" s="3" t="s">
        <v>41</v>
      </c>
      <c r="N55">
        <f>IF(AND( Table15[[#This Row],[Salary]] &gt;= 80000, OR(Table15[[#This Row],[Last_performance_rating]] = "C", Table15[[#This Row],[Last_performance_rating]] = "PIP")) =  TRUE, 1, 0)</f>
        <v>0</v>
      </c>
    </row>
    <row r="56" spans="1:14" x14ac:dyDescent="0.25">
      <c r="A56" s="2">
        <v>10035</v>
      </c>
      <c r="B56" s="22">
        <v>19398</v>
      </c>
      <c r="C56" s="1" t="s">
        <v>238</v>
      </c>
      <c r="D56" s="1" t="s">
        <v>239</v>
      </c>
      <c r="E56" s="1" t="s">
        <v>13</v>
      </c>
      <c r="F56" s="22">
        <v>32391</v>
      </c>
      <c r="G56" s="1">
        <v>6</v>
      </c>
      <c r="H56" s="1" t="s">
        <v>35</v>
      </c>
      <c r="I56" s="1">
        <v>0</v>
      </c>
      <c r="J56" s="1"/>
      <c r="K56" s="24">
        <v>41538</v>
      </c>
      <c r="L56" s="1" t="s">
        <v>24</v>
      </c>
      <c r="M56" s="3" t="s">
        <v>18</v>
      </c>
      <c r="N56">
        <f>IF(AND( Table15[[#This Row],[Salary]] &gt;= 80000, OR(Table15[[#This Row],[Last_performance_rating]] = "C", Table15[[#This Row],[Last_performance_rating]] = "PIP")) =  TRUE, 1, 0)</f>
        <v>0</v>
      </c>
    </row>
    <row r="57" spans="1:14" x14ac:dyDescent="0.25">
      <c r="A57" s="2">
        <v>205246</v>
      </c>
      <c r="B57" s="22">
        <v>21514</v>
      </c>
      <c r="C57" s="1" t="s">
        <v>242</v>
      </c>
      <c r="D57" s="1" t="s">
        <v>243</v>
      </c>
      <c r="E57" s="1" t="s">
        <v>33</v>
      </c>
      <c r="F57" s="22">
        <v>31550</v>
      </c>
      <c r="G57" s="1">
        <v>8</v>
      </c>
      <c r="H57" s="1" t="s">
        <v>35</v>
      </c>
      <c r="I57" s="1">
        <v>0</v>
      </c>
      <c r="J57" s="1"/>
      <c r="K57" s="24">
        <v>80252</v>
      </c>
      <c r="L57" s="1" t="s">
        <v>40</v>
      </c>
      <c r="M57" s="3" t="s">
        <v>102</v>
      </c>
      <c r="N57">
        <f>IF(AND( Table15[[#This Row],[Salary]] &gt;= 80000, OR(Table15[[#This Row],[Last_performance_rating]] = "C", Table15[[#This Row],[Last_performance_rating]] = "PIP")) =  TRUE, 1, 0)</f>
        <v>0</v>
      </c>
    </row>
    <row r="58" spans="1:14" x14ac:dyDescent="0.25">
      <c r="A58" s="2">
        <v>10036</v>
      </c>
      <c r="B58" s="22">
        <v>21772</v>
      </c>
      <c r="C58" s="1" t="s">
        <v>246</v>
      </c>
      <c r="D58" s="1" t="s">
        <v>247</v>
      </c>
      <c r="E58" s="1" t="s">
        <v>13</v>
      </c>
      <c r="F58" s="22">
        <v>33606</v>
      </c>
      <c r="G58" s="1">
        <v>5</v>
      </c>
      <c r="H58" s="1" t="s">
        <v>15</v>
      </c>
      <c r="I58" s="1">
        <v>0</v>
      </c>
      <c r="J58" s="1"/>
      <c r="K58" s="24">
        <v>42819</v>
      </c>
      <c r="L58" s="1" t="s">
        <v>46</v>
      </c>
      <c r="M58" s="3" t="s">
        <v>102</v>
      </c>
      <c r="N58">
        <f>IF(AND( Table15[[#This Row],[Salary]] &gt;= 80000, OR(Table15[[#This Row],[Last_performance_rating]] = "C", Table15[[#This Row],[Last_performance_rating]] = "PIP")) =  TRUE, 1, 0)</f>
        <v>0</v>
      </c>
    </row>
    <row r="59" spans="1:14" x14ac:dyDescent="0.25">
      <c r="A59" s="2">
        <v>10037</v>
      </c>
      <c r="B59" s="22">
        <v>23214</v>
      </c>
      <c r="C59" s="1" t="s">
        <v>250</v>
      </c>
      <c r="D59" s="1" t="s">
        <v>251</v>
      </c>
      <c r="E59" s="1" t="s">
        <v>13</v>
      </c>
      <c r="F59" s="22">
        <v>33212</v>
      </c>
      <c r="G59" s="1">
        <v>4</v>
      </c>
      <c r="H59" s="1" t="s">
        <v>29</v>
      </c>
      <c r="I59" s="1">
        <v>0</v>
      </c>
      <c r="J59" s="1"/>
      <c r="K59" s="24">
        <v>40000</v>
      </c>
      <c r="L59" s="1" t="s">
        <v>17</v>
      </c>
      <c r="M59" s="3" t="s">
        <v>18</v>
      </c>
      <c r="N59">
        <f>IF(AND( Table15[[#This Row],[Salary]] &gt;= 80000, OR(Table15[[#This Row],[Last_performance_rating]] = "C", Table15[[#This Row],[Last_performance_rating]] = "PIP")) =  TRUE, 1, 0)</f>
        <v>0</v>
      </c>
    </row>
    <row r="60" spans="1:14" x14ac:dyDescent="0.25">
      <c r="A60" s="2">
        <v>10038</v>
      </c>
      <c r="B60" s="22">
        <v>22117</v>
      </c>
      <c r="C60" s="1" t="s">
        <v>254</v>
      </c>
      <c r="D60" s="1" t="s">
        <v>255</v>
      </c>
      <c r="E60" s="1" t="s">
        <v>13</v>
      </c>
      <c r="F60" s="22">
        <v>32771</v>
      </c>
      <c r="G60" s="1">
        <v>5</v>
      </c>
      <c r="H60" s="1" t="s">
        <v>29</v>
      </c>
      <c r="I60" s="1">
        <v>0</v>
      </c>
      <c r="J60" s="1"/>
      <c r="K60" s="24">
        <v>40000</v>
      </c>
      <c r="L60" s="1" t="s">
        <v>89</v>
      </c>
      <c r="M60" s="3" t="s">
        <v>41</v>
      </c>
      <c r="N60">
        <f>IF(AND( Table15[[#This Row],[Salary]] &gt;= 80000, OR(Table15[[#This Row],[Last_performance_rating]] = "C", Table15[[#This Row],[Last_performance_rating]] = "PIP")) =  TRUE, 1, 0)</f>
        <v>0</v>
      </c>
    </row>
    <row r="61" spans="1:14" x14ac:dyDescent="0.25">
      <c r="A61" s="2">
        <v>10039</v>
      </c>
      <c r="B61" s="22">
        <v>21824</v>
      </c>
      <c r="C61" s="1" t="s">
        <v>258</v>
      </c>
      <c r="D61" s="1" t="s">
        <v>259</v>
      </c>
      <c r="E61" s="1" t="s">
        <v>13</v>
      </c>
      <c r="F61" s="22">
        <v>32161</v>
      </c>
      <c r="G61" s="1">
        <v>1</v>
      </c>
      <c r="H61" s="1" t="s">
        <v>35</v>
      </c>
      <c r="I61" s="1">
        <v>0</v>
      </c>
      <c r="J61" s="1"/>
      <c r="K61" s="24">
        <v>40000</v>
      </c>
      <c r="L61" s="1" t="s">
        <v>46</v>
      </c>
      <c r="M61" s="3" t="s">
        <v>41</v>
      </c>
      <c r="N61">
        <f>IF(AND( Table15[[#This Row],[Salary]] &gt;= 80000, OR(Table15[[#This Row],[Last_performance_rating]] = "C", Table15[[#This Row],[Last_performance_rating]] = "PIP")) =  TRUE, 1, 0)</f>
        <v>0</v>
      </c>
    </row>
    <row r="62" spans="1:14" x14ac:dyDescent="0.25">
      <c r="A62" s="2">
        <v>424270</v>
      </c>
      <c r="B62" s="22">
        <v>23026</v>
      </c>
      <c r="C62" s="1" t="s">
        <v>262</v>
      </c>
      <c r="D62" s="1" t="s">
        <v>263</v>
      </c>
      <c r="E62" s="1" t="s">
        <v>33</v>
      </c>
      <c r="F62" s="22">
        <v>34827</v>
      </c>
      <c r="G62" s="1">
        <v>8</v>
      </c>
      <c r="H62" s="1" t="s">
        <v>29</v>
      </c>
      <c r="I62" s="1">
        <v>0</v>
      </c>
      <c r="J62" s="1"/>
      <c r="K62" s="24">
        <v>60678</v>
      </c>
      <c r="L62" s="1" t="s">
        <v>108</v>
      </c>
      <c r="M62" s="3" t="s">
        <v>41</v>
      </c>
      <c r="N62">
        <f>IF(AND( Table15[[#This Row],[Salary]] &gt;= 80000, OR(Table15[[#This Row],[Last_performance_rating]] = "C", Table15[[#This Row],[Last_performance_rating]] = "PIP")) =  TRUE, 1, 0)</f>
        <v>0</v>
      </c>
    </row>
    <row r="63" spans="1:14" x14ac:dyDescent="0.25">
      <c r="A63" s="2">
        <v>424270</v>
      </c>
      <c r="B63" s="22">
        <v>23026</v>
      </c>
      <c r="C63" s="1" t="s">
        <v>262</v>
      </c>
      <c r="D63" s="1" t="s">
        <v>263</v>
      </c>
      <c r="E63" s="1" t="s">
        <v>33</v>
      </c>
      <c r="F63" s="22">
        <v>34827</v>
      </c>
      <c r="G63" s="1">
        <v>8</v>
      </c>
      <c r="H63" s="1" t="s">
        <v>29</v>
      </c>
      <c r="I63" s="1">
        <v>0</v>
      </c>
      <c r="J63" s="1"/>
      <c r="K63" s="24">
        <v>60678</v>
      </c>
      <c r="L63" s="1" t="s">
        <v>40</v>
      </c>
      <c r="M63" s="3" t="s">
        <v>41</v>
      </c>
      <c r="N63">
        <f>IF(AND( Table15[[#This Row],[Salary]] &gt;= 80000, OR(Table15[[#This Row],[Last_performance_rating]] = "C", Table15[[#This Row],[Last_performance_rating]] = "PIP")) =  TRUE, 1, 0)</f>
        <v>0</v>
      </c>
    </row>
    <row r="64" spans="1:14" x14ac:dyDescent="0.25">
      <c r="A64" s="2">
        <v>10040</v>
      </c>
      <c r="B64" s="22">
        <v>21806</v>
      </c>
      <c r="C64" s="1" t="s">
        <v>266</v>
      </c>
      <c r="D64" s="1" t="s">
        <v>267</v>
      </c>
      <c r="E64" s="1" t="s">
        <v>33</v>
      </c>
      <c r="F64" s="22">
        <v>34014</v>
      </c>
      <c r="G64" s="1">
        <v>6</v>
      </c>
      <c r="H64" s="1" t="s">
        <v>29</v>
      </c>
      <c r="I64" s="1">
        <v>0</v>
      </c>
      <c r="J64" s="1"/>
      <c r="K64" s="24">
        <v>52153</v>
      </c>
      <c r="L64" s="1" t="s">
        <v>17</v>
      </c>
      <c r="M64" s="3" t="s">
        <v>18</v>
      </c>
      <c r="N64">
        <f>IF(AND( Table15[[#This Row],[Salary]] &gt;= 80000, OR(Table15[[#This Row],[Last_performance_rating]] = "C", Table15[[#This Row],[Last_performance_rating]] = "PIP")) =  TRUE, 1, 0)</f>
        <v>0</v>
      </c>
    </row>
    <row r="65" spans="1:14" x14ac:dyDescent="0.25">
      <c r="A65" s="2">
        <v>10040</v>
      </c>
      <c r="B65" s="22">
        <v>21806</v>
      </c>
      <c r="C65" s="1" t="s">
        <v>266</v>
      </c>
      <c r="D65" s="1" t="s">
        <v>267</v>
      </c>
      <c r="E65" s="1" t="s">
        <v>33</v>
      </c>
      <c r="F65" s="22">
        <v>34014</v>
      </c>
      <c r="G65" s="1">
        <v>6</v>
      </c>
      <c r="H65" s="1" t="s">
        <v>29</v>
      </c>
      <c r="I65" s="1">
        <v>0</v>
      </c>
      <c r="J65" s="1"/>
      <c r="K65" s="24">
        <v>52153</v>
      </c>
      <c r="L65" s="1" t="s">
        <v>61</v>
      </c>
      <c r="M65" s="3" t="s">
        <v>18</v>
      </c>
      <c r="N65">
        <f>IF(AND( Table15[[#This Row],[Salary]] &gt;= 80000, OR(Table15[[#This Row],[Last_performance_rating]] = "C", Table15[[#This Row],[Last_performance_rating]] = "PIP")) =  TRUE, 1, 0)</f>
        <v>0</v>
      </c>
    </row>
    <row r="66" spans="1:14" x14ac:dyDescent="0.25">
      <c r="A66" s="2">
        <v>71530</v>
      </c>
      <c r="B66" s="22">
        <v>21590</v>
      </c>
      <c r="C66" s="1" t="s">
        <v>206</v>
      </c>
      <c r="D66" s="1" t="s">
        <v>269</v>
      </c>
      <c r="E66" s="1" t="s">
        <v>13</v>
      </c>
      <c r="F66" s="22">
        <v>32598</v>
      </c>
      <c r="G66" s="1">
        <v>5</v>
      </c>
      <c r="H66" s="1" t="s">
        <v>29</v>
      </c>
      <c r="I66" s="1">
        <v>0</v>
      </c>
      <c r="J66" s="1"/>
      <c r="K66" s="24">
        <v>69148</v>
      </c>
      <c r="L66" s="1" t="s">
        <v>17</v>
      </c>
      <c r="M66" s="3" t="s">
        <v>18</v>
      </c>
      <c r="N66">
        <f>IF(AND( Table15[[#This Row],[Salary]] &gt;= 80000, OR(Table15[[#This Row],[Last_performance_rating]] = "C", Table15[[#This Row],[Last_performance_rating]] = "PIP")) =  TRUE, 1, 0)</f>
        <v>0</v>
      </c>
    </row>
    <row r="67" spans="1:14" x14ac:dyDescent="0.25">
      <c r="A67" s="2">
        <v>10041</v>
      </c>
      <c r="B67" s="22">
        <v>21789</v>
      </c>
      <c r="C67" s="1" t="s">
        <v>272</v>
      </c>
      <c r="D67" s="1" t="s">
        <v>273</v>
      </c>
      <c r="E67" s="1" t="s">
        <v>33</v>
      </c>
      <c r="F67" s="22">
        <v>32824</v>
      </c>
      <c r="G67" s="1">
        <v>7</v>
      </c>
      <c r="H67" s="1" t="s">
        <v>29</v>
      </c>
      <c r="I67" s="1">
        <v>0</v>
      </c>
      <c r="J67" s="1"/>
      <c r="K67" s="24">
        <v>56893</v>
      </c>
      <c r="L67" s="1" t="s">
        <v>40</v>
      </c>
      <c r="M67" s="3" t="s">
        <v>41</v>
      </c>
      <c r="N67">
        <f>IF(AND( Table15[[#This Row],[Salary]] &gt;= 80000, OR(Table15[[#This Row],[Last_performance_rating]] = "C", Table15[[#This Row],[Last_performance_rating]] = "PIP")) =  TRUE, 1, 0)</f>
        <v>0</v>
      </c>
    </row>
    <row r="68" spans="1:14" x14ac:dyDescent="0.25">
      <c r="A68" s="2">
        <v>10042</v>
      </c>
      <c r="B68" s="22">
        <v>20511</v>
      </c>
      <c r="C68" s="1" t="s">
        <v>276</v>
      </c>
      <c r="D68" s="1" t="s">
        <v>277</v>
      </c>
      <c r="E68" s="1" t="s">
        <v>33</v>
      </c>
      <c r="F68" s="22">
        <v>34049</v>
      </c>
      <c r="G68" s="1">
        <v>4</v>
      </c>
      <c r="H68" s="1" t="s">
        <v>35</v>
      </c>
      <c r="I68" s="1">
        <v>0</v>
      </c>
      <c r="J68" s="1"/>
      <c r="K68" s="24">
        <v>81662</v>
      </c>
      <c r="L68" s="1" t="s">
        <v>108</v>
      </c>
      <c r="M68" s="3" t="s">
        <v>41</v>
      </c>
      <c r="N68">
        <f>IF(AND( Table15[[#This Row],[Salary]] &gt;= 80000, OR(Table15[[#This Row],[Last_performance_rating]] = "C", Table15[[#This Row],[Last_performance_rating]] = "PIP")) =  TRUE, 1, 0)</f>
        <v>0</v>
      </c>
    </row>
    <row r="69" spans="1:14" x14ac:dyDescent="0.25">
      <c r="A69" s="2">
        <v>427958</v>
      </c>
      <c r="B69" s="22">
        <v>20943</v>
      </c>
      <c r="C69" s="1" t="s">
        <v>280</v>
      </c>
      <c r="D69" s="1" t="s">
        <v>281</v>
      </c>
      <c r="E69" s="1" t="s">
        <v>33</v>
      </c>
      <c r="F69" s="22">
        <v>31178</v>
      </c>
      <c r="G69" s="1">
        <v>10</v>
      </c>
      <c r="H69" s="1" t="s">
        <v>15</v>
      </c>
      <c r="I69" s="1">
        <v>0</v>
      </c>
      <c r="J69" s="1"/>
      <c r="K69" s="24">
        <v>63377</v>
      </c>
      <c r="L69" s="1" t="s">
        <v>125</v>
      </c>
      <c r="M69" s="3" t="s">
        <v>41</v>
      </c>
      <c r="N69">
        <f>IF(AND( Table15[[#This Row],[Salary]] &gt;= 80000, OR(Table15[[#This Row],[Last_performance_rating]] = "C", Table15[[#This Row],[Last_performance_rating]] = "PIP")) =  TRUE, 1, 0)</f>
        <v>0</v>
      </c>
    </row>
    <row r="70" spans="1:14" x14ac:dyDescent="0.25">
      <c r="A70" s="2">
        <v>10043</v>
      </c>
      <c r="B70" s="22">
        <v>22178</v>
      </c>
      <c r="C70" s="1" t="s">
        <v>284</v>
      </c>
      <c r="D70" s="1" t="s">
        <v>285</v>
      </c>
      <c r="E70" s="1" t="s">
        <v>13</v>
      </c>
      <c r="F70" s="22">
        <v>33166</v>
      </c>
      <c r="G70" s="1">
        <v>6</v>
      </c>
      <c r="H70" s="1" t="s">
        <v>15</v>
      </c>
      <c r="I70" s="1">
        <v>0</v>
      </c>
      <c r="J70" s="1"/>
      <c r="K70" s="24">
        <v>49324</v>
      </c>
      <c r="L70" s="1" t="s">
        <v>17</v>
      </c>
      <c r="M70" s="3" t="s">
        <v>18</v>
      </c>
      <c r="N70">
        <f>IF(AND( Table15[[#This Row],[Salary]] &gt;= 80000, OR(Table15[[#This Row],[Last_performance_rating]] = "C", Table15[[#This Row],[Last_performance_rating]] = "PIP")) =  TRUE, 1, 0)</f>
        <v>0</v>
      </c>
    </row>
    <row r="71" spans="1:14" x14ac:dyDescent="0.25">
      <c r="A71" s="2">
        <v>10044</v>
      </c>
      <c r="B71" s="22">
        <v>22545</v>
      </c>
      <c r="C71" s="1" t="s">
        <v>288</v>
      </c>
      <c r="D71" s="1" t="s">
        <v>289</v>
      </c>
      <c r="E71" s="1" t="s">
        <v>33</v>
      </c>
      <c r="F71" s="22">
        <v>34475</v>
      </c>
      <c r="G71" s="1">
        <v>1</v>
      </c>
      <c r="H71" s="1" t="s">
        <v>15</v>
      </c>
      <c r="I71" s="1">
        <v>0</v>
      </c>
      <c r="J71" s="1"/>
      <c r="K71" s="24">
        <v>40919</v>
      </c>
      <c r="L71" s="1" t="s">
        <v>24</v>
      </c>
      <c r="M71" s="3" t="s">
        <v>156</v>
      </c>
      <c r="N71">
        <f>IF(AND( Table15[[#This Row],[Salary]] &gt;= 80000, OR(Table15[[#This Row],[Last_performance_rating]] = "C", Table15[[#This Row],[Last_performance_rating]] = "PIP")) =  TRUE, 1, 0)</f>
        <v>0</v>
      </c>
    </row>
    <row r="72" spans="1:14" x14ac:dyDescent="0.25">
      <c r="A72" s="2">
        <v>280408</v>
      </c>
      <c r="B72" s="22">
        <v>23639</v>
      </c>
      <c r="C72" s="1" t="s">
        <v>292</v>
      </c>
      <c r="D72" s="1" t="s">
        <v>293</v>
      </c>
      <c r="E72" s="1" t="s">
        <v>13</v>
      </c>
      <c r="F72" s="22">
        <v>32079</v>
      </c>
      <c r="G72" s="1">
        <v>7</v>
      </c>
      <c r="H72" s="1" t="s">
        <v>29</v>
      </c>
      <c r="I72" s="1">
        <v>0</v>
      </c>
      <c r="J72" s="1"/>
      <c r="K72" s="24">
        <v>75963</v>
      </c>
      <c r="L72" s="1" t="s">
        <v>40</v>
      </c>
      <c r="M72" s="3" t="s">
        <v>41</v>
      </c>
      <c r="N72">
        <f>IF(AND( Table15[[#This Row],[Salary]] &gt;= 80000, OR(Table15[[#This Row],[Last_performance_rating]] = "C", Table15[[#This Row],[Last_performance_rating]] = "PIP")) =  TRUE, 1, 0)</f>
        <v>0</v>
      </c>
    </row>
    <row r="73" spans="1:14" x14ac:dyDescent="0.25">
      <c r="A73" s="2">
        <v>10045</v>
      </c>
      <c r="B73" s="22">
        <v>21046</v>
      </c>
      <c r="C73" s="1" t="s">
        <v>296</v>
      </c>
      <c r="D73" s="1" t="s">
        <v>297</v>
      </c>
      <c r="E73" s="1" t="s">
        <v>13</v>
      </c>
      <c r="F73" s="22">
        <v>32753</v>
      </c>
      <c r="G73" s="1">
        <v>5</v>
      </c>
      <c r="H73" s="1" t="s">
        <v>15</v>
      </c>
      <c r="I73" s="1">
        <v>0</v>
      </c>
      <c r="J73" s="1"/>
      <c r="K73" s="24">
        <v>41971</v>
      </c>
      <c r="L73" s="1" t="s">
        <v>24</v>
      </c>
      <c r="M73" s="3" t="s">
        <v>55</v>
      </c>
      <c r="N73">
        <f>IF(AND( Table15[[#This Row],[Salary]] &gt;= 80000, OR(Table15[[#This Row],[Last_performance_rating]] = "C", Table15[[#This Row],[Last_performance_rating]] = "PIP")) =  TRUE, 1, 0)</f>
        <v>0</v>
      </c>
    </row>
    <row r="74" spans="1:14" x14ac:dyDescent="0.25">
      <c r="A74" s="2">
        <v>10046</v>
      </c>
      <c r="B74" s="22">
        <v>22120</v>
      </c>
      <c r="C74" s="1" t="s">
        <v>300</v>
      </c>
      <c r="D74" s="1" t="s">
        <v>301</v>
      </c>
      <c r="E74" s="1" t="s">
        <v>13</v>
      </c>
      <c r="F74" s="22">
        <v>33775</v>
      </c>
      <c r="G74" s="1">
        <v>1</v>
      </c>
      <c r="H74" s="1" t="s">
        <v>35</v>
      </c>
      <c r="I74" s="1">
        <v>0</v>
      </c>
      <c r="J74" s="1"/>
      <c r="K74" s="24">
        <v>40000</v>
      </c>
      <c r="L74" s="1" t="s">
        <v>61</v>
      </c>
      <c r="M74" s="3" t="s">
        <v>41</v>
      </c>
      <c r="N74">
        <f>IF(AND( Table15[[#This Row],[Salary]] &gt;= 80000, OR(Table15[[#This Row],[Last_performance_rating]] = "C", Table15[[#This Row],[Last_performance_rating]] = "PIP")) =  TRUE, 1, 0)</f>
        <v>0</v>
      </c>
    </row>
    <row r="75" spans="1:14" x14ac:dyDescent="0.25">
      <c r="A75" s="2">
        <v>104639</v>
      </c>
      <c r="B75" s="22">
        <v>22086</v>
      </c>
      <c r="C75" s="1" t="s">
        <v>304</v>
      </c>
      <c r="D75" s="1" t="s">
        <v>305</v>
      </c>
      <c r="E75" s="1" t="s">
        <v>33</v>
      </c>
      <c r="F75" s="22">
        <v>36417</v>
      </c>
      <c r="G75" s="1">
        <v>6</v>
      </c>
      <c r="H75" s="1" t="s">
        <v>35</v>
      </c>
      <c r="I75" s="1">
        <v>0</v>
      </c>
      <c r="J75" s="1"/>
      <c r="K75" s="24">
        <v>40000</v>
      </c>
      <c r="L75" s="1" t="s">
        <v>17</v>
      </c>
      <c r="M75" s="3" t="s">
        <v>18</v>
      </c>
      <c r="N75">
        <f>IF(AND( Table15[[#This Row],[Salary]] &gt;= 80000, OR(Table15[[#This Row],[Last_performance_rating]] = "C", Table15[[#This Row],[Last_performance_rating]] = "PIP")) =  TRUE, 1, 0)</f>
        <v>0</v>
      </c>
    </row>
    <row r="76" spans="1:14" x14ac:dyDescent="0.25">
      <c r="A76" s="2">
        <v>104639</v>
      </c>
      <c r="B76" s="22">
        <v>22086</v>
      </c>
      <c r="C76" s="1" t="s">
        <v>304</v>
      </c>
      <c r="D76" s="1" t="s">
        <v>305</v>
      </c>
      <c r="E76" s="1" t="s">
        <v>33</v>
      </c>
      <c r="F76" s="22">
        <v>36417</v>
      </c>
      <c r="G76" s="1">
        <v>6</v>
      </c>
      <c r="H76" s="1" t="s">
        <v>35</v>
      </c>
      <c r="I76" s="1">
        <v>0</v>
      </c>
      <c r="J76" s="1"/>
      <c r="K76" s="24">
        <v>40000</v>
      </c>
      <c r="L76" s="1" t="s">
        <v>61</v>
      </c>
      <c r="M76" s="3" t="s">
        <v>18</v>
      </c>
      <c r="N76">
        <f>IF(AND( Table15[[#This Row],[Salary]] &gt;= 80000, OR(Table15[[#This Row],[Last_performance_rating]] = "C", Table15[[#This Row],[Last_performance_rating]] = "PIP")) =  TRUE, 1, 0)</f>
        <v>0</v>
      </c>
    </row>
    <row r="77" spans="1:14" x14ac:dyDescent="0.25">
      <c r="A77" s="2">
        <v>10047</v>
      </c>
      <c r="B77" s="22">
        <v>19174</v>
      </c>
      <c r="C77" s="1" t="s">
        <v>308</v>
      </c>
      <c r="D77" s="1" t="s">
        <v>309</v>
      </c>
      <c r="E77" s="1" t="s">
        <v>13</v>
      </c>
      <c r="F77" s="22">
        <v>32598</v>
      </c>
      <c r="G77" s="1">
        <v>10</v>
      </c>
      <c r="H77" s="1" t="s">
        <v>15</v>
      </c>
      <c r="I77" s="1">
        <v>1</v>
      </c>
      <c r="J77" s="22">
        <v>33351</v>
      </c>
      <c r="K77" s="24">
        <v>54982</v>
      </c>
      <c r="L77" s="1" t="s">
        <v>24</v>
      </c>
      <c r="M77" s="3" t="s">
        <v>18</v>
      </c>
      <c r="N77">
        <f>IF(AND( Table15[[#This Row],[Salary]] &gt;= 80000, OR(Table15[[#This Row],[Last_performance_rating]] = "C", Table15[[#This Row],[Last_performance_rating]] = "PIP")) =  TRUE, 1, 0)</f>
        <v>0</v>
      </c>
    </row>
    <row r="78" spans="1:14" x14ac:dyDescent="0.25">
      <c r="A78" s="2">
        <v>10048</v>
      </c>
      <c r="B78" s="22">
        <v>23203</v>
      </c>
      <c r="C78" s="1" t="s">
        <v>312</v>
      </c>
      <c r="D78" s="1" t="s">
        <v>313</v>
      </c>
      <c r="E78" s="1" t="s">
        <v>13</v>
      </c>
      <c r="F78" s="22">
        <v>31102</v>
      </c>
      <c r="G78" s="1">
        <v>9</v>
      </c>
      <c r="H78" s="1" t="s">
        <v>35</v>
      </c>
      <c r="I78" s="1">
        <v>0</v>
      </c>
      <c r="J78" s="1"/>
      <c r="K78" s="24">
        <v>40000</v>
      </c>
      <c r="L78" s="1" t="s">
        <v>17</v>
      </c>
      <c r="M78" s="3" t="s">
        <v>55</v>
      </c>
      <c r="N78">
        <f>IF(AND( Table15[[#This Row],[Salary]] &gt;= 80000, OR(Table15[[#This Row],[Last_performance_rating]] = "C", Table15[[#This Row],[Last_performance_rating]] = "PIP")) =  TRUE, 1, 0)</f>
        <v>0</v>
      </c>
    </row>
    <row r="79" spans="1:14" x14ac:dyDescent="0.25">
      <c r="A79" s="2">
        <v>214555</v>
      </c>
      <c r="B79" s="22">
        <v>22197</v>
      </c>
      <c r="C79" s="1" t="s">
        <v>316</v>
      </c>
      <c r="D79" s="1" t="s">
        <v>317</v>
      </c>
      <c r="E79" s="1" t="s">
        <v>33</v>
      </c>
      <c r="F79" s="22">
        <v>32077</v>
      </c>
      <c r="G79" s="1">
        <v>8</v>
      </c>
      <c r="H79" s="1" t="s">
        <v>29</v>
      </c>
      <c r="I79" s="1">
        <v>0</v>
      </c>
      <c r="J79" s="1"/>
      <c r="K79" s="24">
        <v>40000</v>
      </c>
      <c r="L79" s="1" t="s">
        <v>17</v>
      </c>
      <c r="M79" s="3" t="s">
        <v>18</v>
      </c>
      <c r="N79">
        <f>IF(AND( Table15[[#This Row],[Salary]] &gt;= 80000, OR(Table15[[#This Row],[Last_performance_rating]] = "C", Table15[[#This Row],[Last_performance_rating]] = "PIP")) =  TRUE, 1, 0)</f>
        <v>0</v>
      </c>
    </row>
    <row r="80" spans="1:14" x14ac:dyDescent="0.25">
      <c r="A80" s="2">
        <v>10049</v>
      </c>
      <c r="B80" s="22">
        <v>22395</v>
      </c>
      <c r="C80" s="1" t="s">
        <v>320</v>
      </c>
      <c r="D80" s="1" t="s">
        <v>321</v>
      </c>
      <c r="E80" s="1" t="s">
        <v>33</v>
      </c>
      <c r="F80" s="22">
        <v>33728</v>
      </c>
      <c r="G80" s="1">
        <v>3</v>
      </c>
      <c r="H80" s="1" t="s">
        <v>35</v>
      </c>
      <c r="I80" s="1">
        <v>0</v>
      </c>
      <c r="J80" s="1"/>
      <c r="K80" s="24">
        <v>40000</v>
      </c>
      <c r="L80" s="1" t="s">
        <v>89</v>
      </c>
      <c r="M80" s="3" t="s">
        <v>41</v>
      </c>
      <c r="N80">
        <f>IF(AND( Table15[[#This Row],[Salary]] &gt;= 80000, OR(Table15[[#This Row],[Last_performance_rating]] = "C", Table15[[#This Row],[Last_performance_rating]] = "PIP")) =  TRUE, 1, 0)</f>
        <v>0</v>
      </c>
    </row>
    <row r="81" spans="1:14" x14ac:dyDescent="0.25">
      <c r="A81" s="2">
        <v>10050</v>
      </c>
      <c r="B81" s="22">
        <v>21326</v>
      </c>
      <c r="C81" s="1" t="s">
        <v>324</v>
      </c>
      <c r="D81" s="1" t="s">
        <v>325</v>
      </c>
      <c r="E81" s="1" t="s">
        <v>13</v>
      </c>
      <c r="F81" s="22">
        <v>33232</v>
      </c>
      <c r="G81" s="1">
        <v>6</v>
      </c>
      <c r="H81" s="1" t="s">
        <v>15</v>
      </c>
      <c r="I81" s="1">
        <v>0</v>
      </c>
      <c r="J81" s="1"/>
      <c r="K81" s="24">
        <v>74366</v>
      </c>
      <c r="L81" s="1" t="s">
        <v>108</v>
      </c>
      <c r="M81" s="3" t="s">
        <v>41</v>
      </c>
      <c r="N81">
        <f>IF(AND( Table15[[#This Row],[Salary]] &gt;= 80000, OR(Table15[[#This Row],[Last_performance_rating]] = "C", Table15[[#This Row],[Last_performance_rating]] = "PIP")) =  TRUE, 1, 0)</f>
        <v>0</v>
      </c>
    </row>
    <row r="82" spans="1:14" x14ac:dyDescent="0.25">
      <c r="A82" s="2">
        <v>10050</v>
      </c>
      <c r="B82" s="22">
        <v>21326</v>
      </c>
      <c r="C82" s="1" t="s">
        <v>324</v>
      </c>
      <c r="D82" s="1" t="s">
        <v>325</v>
      </c>
      <c r="E82" s="1" t="s">
        <v>13</v>
      </c>
      <c r="F82" s="22">
        <v>33232</v>
      </c>
      <c r="G82" s="1">
        <v>6</v>
      </c>
      <c r="H82" s="1" t="s">
        <v>15</v>
      </c>
      <c r="I82" s="1">
        <v>0</v>
      </c>
      <c r="J82" s="1"/>
      <c r="K82" s="24">
        <v>74366</v>
      </c>
      <c r="L82" s="1" t="s">
        <v>40</v>
      </c>
      <c r="M82" s="3" t="s">
        <v>41</v>
      </c>
      <c r="N82">
        <f>IF(AND( Table15[[#This Row],[Salary]] &gt;= 80000, OR(Table15[[#This Row],[Last_performance_rating]] = "C", Table15[[#This Row],[Last_performance_rating]] = "PIP")) =  TRUE, 1, 0)</f>
        <v>0</v>
      </c>
    </row>
    <row r="83" spans="1:14" x14ac:dyDescent="0.25">
      <c r="A83" s="2">
        <v>229010</v>
      </c>
      <c r="B83" s="22">
        <v>22597</v>
      </c>
      <c r="C83" s="1" t="s">
        <v>328</v>
      </c>
      <c r="D83" s="1" t="s">
        <v>329</v>
      </c>
      <c r="E83" s="1" t="s">
        <v>13</v>
      </c>
      <c r="F83" s="22">
        <v>33000</v>
      </c>
      <c r="G83" s="1">
        <v>9</v>
      </c>
      <c r="H83" s="1" t="s">
        <v>35</v>
      </c>
      <c r="I83" s="1">
        <v>0</v>
      </c>
      <c r="J83" s="1"/>
      <c r="K83" s="24">
        <v>40000</v>
      </c>
      <c r="L83" s="1" t="s">
        <v>46</v>
      </c>
      <c r="M83" s="3" t="s">
        <v>41</v>
      </c>
      <c r="N83">
        <f>IF(AND( Table15[[#This Row],[Salary]] &gt;= 80000, OR(Table15[[#This Row],[Last_performance_rating]] = "C", Table15[[#This Row],[Last_performance_rating]] = "PIP")) =  TRUE, 1, 0)</f>
        <v>0</v>
      </c>
    </row>
    <row r="84" spans="1:14" x14ac:dyDescent="0.25">
      <c r="A84" s="2">
        <v>10051</v>
      </c>
      <c r="B84" s="22">
        <v>19568</v>
      </c>
      <c r="C84" s="1" t="s">
        <v>332</v>
      </c>
      <c r="D84" s="1" t="s">
        <v>333</v>
      </c>
      <c r="E84" s="1" t="s">
        <v>13</v>
      </c>
      <c r="F84" s="22">
        <v>33892</v>
      </c>
      <c r="G84" s="1">
        <v>2</v>
      </c>
      <c r="H84" s="1" t="s">
        <v>29</v>
      </c>
      <c r="I84" s="1">
        <v>0</v>
      </c>
      <c r="J84" s="1"/>
      <c r="K84" s="24">
        <v>48817</v>
      </c>
      <c r="L84" s="1" t="s">
        <v>24</v>
      </c>
      <c r="M84" s="3" t="s">
        <v>18</v>
      </c>
      <c r="N84">
        <f>IF(AND( Table15[[#This Row],[Salary]] &gt;= 80000, OR(Table15[[#This Row],[Last_performance_rating]] = "C", Table15[[#This Row],[Last_performance_rating]] = "PIP")) =  TRUE, 1, 0)</f>
        <v>0</v>
      </c>
    </row>
    <row r="85" spans="1:14" x14ac:dyDescent="0.25">
      <c r="A85" s="2">
        <v>35916</v>
      </c>
      <c r="B85" s="22">
        <v>19586</v>
      </c>
      <c r="C85" s="1" t="s">
        <v>336</v>
      </c>
      <c r="D85" s="1" t="s">
        <v>337</v>
      </c>
      <c r="E85" s="1" t="s">
        <v>33</v>
      </c>
      <c r="F85" s="22">
        <v>31126</v>
      </c>
      <c r="G85" s="1">
        <v>1</v>
      </c>
      <c r="H85" s="1" t="s">
        <v>29</v>
      </c>
      <c r="I85" s="1">
        <v>0</v>
      </c>
      <c r="J85" s="1"/>
      <c r="K85" s="24">
        <v>40000</v>
      </c>
      <c r="L85" s="1" t="s">
        <v>17</v>
      </c>
      <c r="M85" s="3" t="s">
        <v>18</v>
      </c>
      <c r="N85">
        <f>IF(AND( Table15[[#This Row],[Salary]] &gt;= 80000, OR(Table15[[#This Row],[Last_performance_rating]] = "C", Table15[[#This Row],[Last_performance_rating]] = "PIP")) =  TRUE, 1, 0)</f>
        <v>0</v>
      </c>
    </row>
    <row r="86" spans="1:14" x14ac:dyDescent="0.25">
      <c r="A86" s="2">
        <v>10052</v>
      </c>
      <c r="B86" s="22">
        <v>22338</v>
      </c>
      <c r="C86" s="1" t="s">
        <v>340</v>
      </c>
      <c r="D86" s="1" t="s">
        <v>341</v>
      </c>
      <c r="E86" s="1" t="s">
        <v>13</v>
      </c>
      <c r="F86" s="22">
        <v>32284</v>
      </c>
      <c r="G86" s="1">
        <v>5</v>
      </c>
      <c r="H86" s="1" t="s">
        <v>35</v>
      </c>
      <c r="I86" s="1">
        <v>0</v>
      </c>
      <c r="J86" s="1"/>
      <c r="K86" s="24">
        <v>57212</v>
      </c>
      <c r="L86" s="1" t="s">
        <v>61</v>
      </c>
      <c r="M86" s="3" t="s">
        <v>41</v>
      </c>
      <c r="N86">
        <f>IF(AND( Table15[[#This Row],[Salary]] &gt;= 80000, OR(Table15[[#This Row],[Last_performance_rating]] = "C", Table15[[#This Row],[Last_performance_rating]] = "PIP")) =  TRUE, 1, 0)</f>
        <v>0</v>
      </c>
    </row>
    <row r="87" spans="1:14" x14ac:dyDescent="0.25">
      <c r="A87" s="2">
        <v>10053</v>
      </c>
      <c r="B87" s="22">
        <v>19980</v>
      </c>
      <c r="C87" s="1" t="s">
        <v>344</v>
      </c>
      <c r="D87" s="1" t="s">
        <v>345</v>
      </c>
      <c r="E87" s="1" t="s">
        <v>33</v>
      </c>
      <c r="F87" s="22">
        <v>31447</v>
      </c>
      <c r="G87" s="1">
        <v>4</v>
      </c>
      <c r="H87" s="1" t="s">
        <v>35</v>
      </c>
      <c r="I87" s="1">
        <v>0</v>
      </c>
      <c r="J87" s="1"/>
      <c r="K87" s="24">
        <v>67854</v>
      </c>
      <c r="L87" s="1" t="s">
        <v>40</v>
      </c>
      <c r="M87" s="3" t="s">
        <v>102</v>
      </c>
      <c r="N87">
        <f>IF(AND( Table15[[#This Row],[Salary]] &gt;= 80000, OR(Table15[[#This Row],[Last_performance_rating]] = "C", Table15[[#This Row],[Last_performance_rating]] = "PIP")) =  TRUE, 1, 0)</f>
        <v>0</v>
      </c>
    </row>
    <row r="88" spans="1:14" x14ac:dyDescent="0.25">
      <c r="A88" s="2">
        <v>61583</v>
      </c>
      <c r="B88" s="22">
        <v>20975</v>
      </c>
      <c r="C88" s="1" t="s">
        <v>348</v>
      </c>
      <c r="D88" s="1" t="s">
        <v>349</v>
      </c>
      <c r="E88" s="1" t="s">
        <v>13</v>
      </c>
      <c r="F88" s="22">
        <v>31596</v>
      </c>
      <c r="G88" s="1">
        <v>6</v>
      </c>
      <c r="H88" s="1" t="s">
        <v>35</v>
      </c>
      <c r="I88" s="1">
        <v>0</v>
      </c>
      <c r="J88" s="1"/>
      <c r="K88" s="24">
        <v>50801</v>
      </c>
      <c r="L88" s="1" t="s">
        <v>17</v>
      </c>
      <c r="M88" s="3" t="s">
        <v>18</v>
      </c>
      <c r="N88">
        <f>IF(AND( Table15[[#This Row],[Salary]] &gt;= 80000, OR(Table15[[#This Row],[Last_performance_rating]] = "C", Table15[[#This Row],[Last_performance_rating]] = "PIP")) =  TRUE, 1, 0)</f>
        <v>0</v>
      </c>
    </row>
    <row r="89" spans="1:14" x14ac:dyDescent="0.25">
      <c r="A89" s="2">
        <v>10054</v>
      </c>
      <c r="B89" s="22">
        <v>20914</v>
      </c>
      <c r="C89" s="1" t="s">
        <v>352</v>
      </c>
      <c r="D89" s="1" t="s">
        <v>353</v>
      </c>
      <c r="E89" s="1" t="s">
        <v>13</v>
      </c>
      <c r="F89" s="22">
        <v>34771</v>
      </c>
      <c r="G89" s="1">
        <v>8</v>
      </c>
      <c r="H89" s="1" t="s">
        <v>29</v>
      </c>
      <c r="I89" s="1">
        <v>0</v>
      </c>
      <c r="J89" s="1"/>
      <c r="K89" s="24">
        <v>40000</v>
      </c>
      <c r="L89" s="1" t="s">
        <v>46</v>
      </c>
      <c r="M89" s="3" t="s">
        <v>41</v>
      </c>
      <c r="N89">
        <f>IF(AND( Table15[[#This Row],[Salary]] &gt;= 80000, OR(Table15[[#This Row],[Last_performance_rating]] = "C", Table15[[#This Row],[Last_performance_rating]] = "PIP")) =  TRUE, 1, 0)</f>
        <v>0</v>
      </c>
    </row>
    <row r="90" spans="1:14" x14ac:dyDescent="0.25">
      <c r="A90" s="2">
        <v>10055</v>
      </c>
      <c r="B90" s="22">
        <v>20612</v>
      </c>
      <c r="C90" s="1" t="s">
        <v>356</v>
      </c>
      <c r="D90" s="1" t="s">
        <v>325</v>
      </c>
      <c r="E90" s="1" t="s">
        <v>13</v>
      </c>
      <c r="F90" s="22">
        <v>33721</v>
      </c>
      <c r="G90" s="1">
        <v>4</v>
      </c>
      <c r="H90" s="1" t="s">
        <v>29</v>
      </c>
      <c r="I90" s="1">
        <v>0</v>
      </c>
      <c r="J90" s="1"/>
      <c r="K90" s="24">
        <v>80024</v>
      </c>
      <c r="L90" s="1" t="s">
        <v>125</v>
      </c>
      <c r="M90" s="3" t="s">
        <v>41</v>
      </c>
      <c r="N90">
        <f>IF(AND( Table15[[#This Row],[Salary]] &gt;= 80000, OR(Table15[[#This Row],[Last_performance_rating]] = "C", Table15[[#This Row],[Last_performance_rating]] = "PIP")) =  TRUE, 1, 0)</f>
        <v>0</v>
      </c>
    </row>
    <row r="91" spans="1:14" x14ac:dyDescent="0.25">
      <c r="A91" s="2">
        <v>67799</v>
      </c>
      <c r="B91" s="22">
        <v>22571</v>
      </c>
      <c r="C91" s="1" t="s">
        <v>359</v>
      </c>
      <c r="D91" s="1" t="s">
        <v>360</v>
      </c>
      <c r="E91" s="1" t="s">
        <v>13</v>
      </c>
      <c r="F91" s="22">
        <v>34362</v>
      </c>
      <c r="G91" s="1">
        <v>9</v>
      </c>
      <c r="H91" s="1" t="s">
        <v>35</v>
      </c>
      <c r="I91" s="1">
        <v>0</v>
      </c>
      <c r="J91" s="1"/>
      <c r="K91" s="24">
        <v>48111</v>
      </c>
      <c r="L91" s="1" t="s">
        <v>71</v>
      </c>
      <c r="M91" s="3" t="s">
        <v>55</v>
      </c>
      <c r="N91">
        <f>IF(AND( Table15[[#This Row],[Salary]] &gt;= 80000, OR(Table15[[#This Row],[Last_performance_rating]] = "C", Table15[[#This Row],[Last_performance_rating]] = "PIP")) =  TRUE, 1, 0)</f>
        <v>0</v>
      </c>
    </row>
    <row r="92" spans="1:14" x14ac:dyDescent="0.25">
      <c r="A92" s="2">
        <v>10056</v>
      </c>
      <c r="B92" s="22">
        <v>22525</v>
      </c>
      <c r="C92" s="1" t="s">
        <v>363</v>
      </c>
      <c r="D92" s="1" t="s">
        <v>364</v>
      </c>
      <c r="E92" s="1" t="s">
        <v>33</v>
      </c>
      <c r="F92" s="22">
        <v>32905</v>
      </c>
      <c r="G92" s="1">
        <v>4</v>
      </c>
      <c r="H92" s="1" t="s">
        <v>15</v>
      </c>
      <c r="I92" s="1">
        <v>0</v>
      </c>
      <c r="J92" s="1"/>
      <c r="K92" s="24">
        <v>48857</v>
      </c>
      <c r="L92" s="1" t="s">
        <v>17</v>
      </c>
      <c r="M92" s="3" t="s">
        <v>18</v>
      </c>
      <c r="N92">
        <f>IF(AND( Table15[[#This Row],[Salary]] &gt;= 80000, OR(Table15[[#This Row],[Last_performance_rating]] = "C", Table15[[#This Row],[Last_performance_rating]] = "PIP")) =  TRUE, 1, 0)</f>
        <v>0</v>
      </c>
    </row>
    <row r="93" spans="1:14" x14ac:dyDescent="0.25">
      <c r="A93" s="2">
        <v>10057</v>
      </c>
      <c r="B93" s="22">
        <v>19874</v>
      </c>
      <c r="C93" s="1" t="s">
        <v>367</v>
      </c>
      <c r="D93" s="1" t="s">
        <v>368</v>
      </c>
      <c r="E93" s="1" t="s">
        <v>33</v>
      </c>
      <c r="F93" s="22">
        <v>33618</v>
      </c>
      <c r="G93" s="1">
        <v>9</v>
      </c>
      <c r="H93" s="1" t="s">
        <v>370</v>
      </c>
      <c r="I93" s="1">
        <v>0</v>
      </c>
      <c r="J93" s="1"/>
      <c r="K93" s="24">
        <v>49616</v>
      </c>
      <c r="L93" s="1" t="s">
        <v>17</v>
      </c>
      <c r="M93" s="3" t="s">
        <v>18</v>
      </c>
      <c r="N93">
        <f>IF(AND( Table15[[#This Row],[Salary]] &gt;= 80000, OR(Table15[[#This Row],[Last_performance_rating]] = "C", Table15[[#This Row],[Last_performance_rating]] = "PIP")) =  TRUE, 1, 0)</f>
        <v>0</v>
      </c>
    </row>
    <row r="94" spans="1:14" x14ac:dyDescent="0.25">
      <c r="A94" s="2">
        <v>37061</v>
      </c>
      <c r="B94" s="22">
        <v>23553</v>
      </c>
      <c r="C94" s="1" t="s">
        <v>372</v>
      </c>
      <c r="D94" s="1" t="s">
        <v>203</v>
      </c>
      <c r="E94" s="1" t="s">
        <v>33</v>
      </c>
      <c r="F94" s="22">
        <v>32975</v>
      </c>
      <c r="G94" s="1">
        <v>10</v>
      </c>
      <c r="H94" s="1" t="s">
        <v>15</v>
      </c>
      <c r="I94" s="1">
        <v>0</v>
      </c>
      <c r="J94" s="1"/>
      <c r="K94" s="24">
        <v>40000</v>
      </c>
      <c r="L94" s="1" t="s">
        <v>46</v>
      </c>
      <c r="M94" s="3" t="s">
        <v>41</v>
      </c>
      <c r="N94">
        <f>IF(AND( Table15[[#This Row],[Salary]] &gt;= 80000, OR(Table15[[#This Row],[Last_performance_rating]] = "C", Table15[[#This Row],[Last_performance_rating]] = "PIP")) =  TRUE, 1, 0)</f>
        <v>0</v>
      </c>
    </row>
    <row r="95" spans="1:14" x14ac:dyDescent="0.25">
      <c r="A95" s="2">
        <v>10058</v>
      </c>
      <c r="B95" s="22">
        <v>19998</v>
      </c>
      <c r="C95" s="1" t="s">
        <v>375</v>
      </c>
      <c r="D95" s="1" t="s">
        <v>376</v>
      </c>
      <c r="E95" s="1" t="s">
        <v>13</v>
      </c>
      <c r="F95" s="22">
        <v>31880</v>
      </c>
      <c r="G95" s="1">
        <v>7</v>
      </c>
      <c r="H95" s="1" t="s">
        <v>29</v>
      </c>
      <c r="I95" s="1">
        <v>0</v>
      </c>
      <c r="J95" s="1"/>
      <c r="K95" s="24">
        <v>52787</v>
      </c>
      <c r="L95" s="1" t="s">
        <v>125</v>
      </c>
      <c r="M95" s="3" t="s">
        <v>102</v>
      </c>
      <c r="N95">
        <f>IF(AND( Table15[[#This Row],[Salary]] &gt;= 80000, OR(Table15[[#This Row],[Last_performance_rating]] = "C", Table15[[#This Row],[Last_performance_rating]] = "PIP")) =  TRUE, 1, 0)</f>
        <v>0</v>
      </c>
    </row>
    <row r="96" spans="1:14" x14ac:dyDescent="0.25">
      <c r="A96" s="2">
        <v>10059</v>
      </c>
      <c r="B96" s="22">
        <v>19621</v>
      </c>
      <c r="C96" s="1" t="s">
        <v>258</v>
      </c>
      <c r="D96" s="1" t="s">
        <v>269</v>
      </c>
      <c r="E96" s="1" t="s">
        <v>33</v>
      </c>
      <c r="F96" s="22">
        <v>33415</v>
      </c>
      <c r="G96" s="1">
        <v>2</v>
      </c>
      <c r="H96" s="1" t="s">
        <v>15</v>
      </c>
      <c r="I96" s="1">
        <v>0</v>
      </c>
      <c r="J96" s="1"/>
      <c r="K96" s="24">
        <v>71218</v>
      </c>
      <c r="L96" s="1" t="s">
        <v>108</v>
      </c>
      <c r="M96" s="3" t="s">
        <v>102</v>
      </c>
      <c r="N96">
        <f>IF(AND( Table15[[#This Row],[Salary]] &gt;= 80000, OR(Table15[[#This Row],[Last_performance_rating]] = "C", Table15[[#This Row],[Last_performance_rating]] = "PIP")) =  TRUE, 1, 0)</f>
        <v>0</v>
      </c>
    </row>
    <row r="97" spans="1:14" x14ac:dyDescent="0.25">
      <c r="A97" s="2">
        <v>411412</v>
      </c>
      <c r="B97" s="22">
        <v>19370</v>
      </c>
      <c r="C97" s="1" t="s">
        <v>381</v>
      </c>
      <c r="D97" s="1" t="s">
        <v>382</v>
      </c>
      <c r="E97" s="1" t="s">
        <v>13</v>
      </c>
      <c r="F97" s="22">
        <v>32135</v>
      </c>
      <c r="G97" s="1">
        <v>2</v>
      </c>
      <c r="H97" s="1" t="s">
        <v>29</v>
      </c>
      <c r="I97" s="1">
        <v>0</v>
      </c>
      <c r="J97" s="1"/>
      <c r="K97" s="24">
        <v>42348</v>
      </c>
      <c r="L97" s="1" t="s">
        <v>24</v>
      </c>
      <c r="M97" s="3" t="s">
        <v>18</v>
      </c>
      <c r="N97">
        <f>IF(AND( Table15[[#This Row],[Salary]] &gt;= 80000, OR(Table15[[#This Row],[Last_performance_rating]] = "C", Table15[[#This Row],[Last_performance_rating]] = "PIP")) =  TRUE, 1, 0)</f>
        <v>0</v>
      </c>
    </row>
    <row r="98" spans="1:14" x14ac:dyDescent="0.25">
      <c r="A98" s="2">
        <v>10060</v>
      </c>
      <c r="B98" s="22">
        <v>22569</v>
      </c>
      <c r="C98" s="1" t="s">
        <v>385</v>
      </c>
      <c r="D98" s="1" t="s">
        <v>386</v>
      </c>
      <c r="E98" s="1" t="s">
        <v>13</v>
      </c>
      <c r="F98" s="22">
        <v>32083</v>
      </c>
      <c r="G98" s="1">
        <v>7</v>
      </c>
      <c r="H98" s="1" t="s">
        <v>29</v>
      </c>
      <c r="I98" s="1">
        <v>0</v>
      </c>
      <c r="J98" s="1"/>
      <c r="K98" s="24">
        <v>74686</v>
      </c>
      <c r="L98" s="1" t="s">
        <v>40</v>
      </c>
      <c r="M98" s="3" t="s">
        <v>41</v>
      </c>
      <c r="N98">
        <f>IF(AND( Table15[[#This Row],[Salary]] &gt;= 80000, OR(Table15[[#This Row],[Last_performance_rating]] = "C", Table15[[#This Row],[Last_performance_rating]] = "PIP")) =  TRUE, 1, 0)</f>
        <v>0</v>
      </c>
    </row>
    <row r="99" spans="1:14" x14ac:dyDescent="0.25">
      <c r="A99" s="2">
        <v>10060</v>
      </c>
      <c r="B99" s="22">
        <v>22569</v>
      </c>
      <c r="C99" s="1" t="s">
        <v>385</v>
      </c>
      <c r="D99" s="1" t="s">
        <v>386</v>
      </c>
      <c r="E99" s="1" t="s">
        <v>13</v>
      </c>
      <c r="F99" s="22">
        <v>32083</v>
      </c>
      <c r="G99" s="1">
        <v>7</v>
      </c>
      <c r="H99" s="1" t="s">
        <v>29</v>
      </c>
      <c r="I99" s="1">
        <v>0</v>
      </c>
      <c r="J99" s="1"/>
      <c r="K99" s="24">
        <v>74686</v>
      </c>
      <c r="L99" s="1" t="s">
        <v>89</v>
      </c>
      <c r="M99" s="3" t="s">
        <v>41</v>
      </c>
      <c r="N99">
        <f>IF(AND( Table15[[#This Row],[Salary]] &gt;= 80000, OR(Table15[[#This Row],[Last_performance_rating]] = "C", Table15[[#This Row],[Last_performance_rating]] = "PIP")) =  TRUE, 1, 0)</f>
        <v>0</v>
      </c>
    </row>
    <row r="100" spans="1:14" x14ac:dyDescent="0.25">
      <c r="A100" s="2">
        <v>422587</v>
      </c>
      <c r="B100" s="22">
        <v>19908</v>
      </c>
      <c r="C100" s="1" t="s">
        <v>389</v>
      </c>
      <c r="D100" s="1" t="s">
        <v>128</v>
      </c>
      <c r="E100" s="1" t="s">
        <v>33</v>
      </c>
      <c r="F100" s="22">
        <v>31426</v>
      </c>
      <c r="G100" s="1">
        <v>10</v>
      </c>
      <c r="H100" s="1" t="s">
        <v>15</v>
      </c>
      <c r="I100" s="1">
        <v>0</v>
      </c>
      <c r="J100" s="1"/>
      <c r="K100" s="24">
        <v>40000</v>
      </c>
      <c r="L100" s="1" t="s">
        <v>17</v>
      </c>
      <c r="M100" s="3" t="s">
        <v>18</v>
      </c>
      <c r="N100">
        <f>IF(AND( Table15[[#This Row],[Salary]] &gt;= 80000, OR(Table15[[#This Row],[Last_performance_rating]] = "C", Table15[[#This Row],[Last_performance_rating]] = "PIP")) =  TRUE, 1, 0)</f>
        <v>0</v>
      </c>
    </row>
    <row r="101" spans="1:14" x14ac:dyDescent="0.25">
      <c r="A101" s="2">
        <v>10061</v>
      </c>
      <c r="B101" s="22">
        <v>22938</v>
      </c>
      <c r="C101" s="1" t="s">
        <v>392</v>
      </c>
      <c r="D101" s="1" t="s">
        <v>393</v>
      </c>
      <c r="E101" s="1" t="s">
        <v>13</v>
      </c>
      <c r="F101" s="22">
        <v>31307</v>
      </c>
      <c r="G101" s="1">
        <v>1</v>
      </c>
      <c r="H101" s="1" t="s">
        <v>35</v>
      </c>
      <c r="I101" s="1">
        <v>0</v>
      </c>
      <c r="J101" s="1"/>
      <c r="K101" s="24">
        <v>68577</v>
      </c>
      <c r="L101" s="1" t="s">
        <v>40</v>
      </c>
      <c r="M101" s="3" t="s">
        <v>102</v>
      </c>
      <c r="N101">
        <f>IF(AND( Table15[[#This Row],[Salary]] &gt;= 80000, OR(Table15[[#This Row],[Last_performance_rating]] = "C", Table15[[#This Row],[Last_performance_rating]] = "PIP")) =  TRUE, 1, 0)</f>
        <v>0</v>
      </c>
    </row>
    <row r="102" spans="1:14" x14ac:dyDescent="0.25">
      <c r="A102" s="2">
        <v>10062</v>
      </c>
      <c r="B102" s="22">
        <v>22587</v>
      </c>
      <c r="C102" s="1" t="s">
        <v>396</v>
      </c>
      <c r="D102" s="1" t="s">
        <v>397</v>
      </c>
      <c r="E102" s="1" t="s">
        <v>13</v>
      </c>
      <c r="F102" s="22">
        <v>33480</v>
      </c>
      <c r="G102" s="1">
        <v>7</v>
      </c>
      <c r="H102" s="1" t="s">
        <v>35</v>
      </c>
      <c r="I102" s="1">
        <v>1</v>
      </c>
      <c r="J102" s="22">
        <v>34016</v>
      </c>
      <c r="K102" s="24">
        <v>55685</v>
      </c>
      <c r="L102" s="1" t="s">
        <v>17</v>
      </c>
      <c r="M102" s="3" t="s">
        <v>18</v>
      </c>
      <c r="N102">
        <f>IF(AND( Table15[[#This Row],[Salary]] &gt;= 80000, OR(Table15[[#This Row],[Last_performance_rating]] = "C", Table15[[#This Row],[Last_performance_rating]] = "PIP")) =  TRUE, 1, 0)</f>
        <v>0</v>
      </c>
    </row>
    <row r="103" spans="1:14" x14ac:dyDescent="0.25">
      <c r="A103" s="2">
        <v>35270</v>
      </c>
      <c r="B103" s="22">
        <v>19361</v>
      </c>
      <c r="C103" s="1" t="s">
        <v>401</v>
      </c>
      <c r="D103" s="1" t="s">
        <v>402</v>
      </c>
      <c r="E103" s="1" t="s">
        <v>13</v>
      </c>
      <c r="F103" s="22">
        <v>33274</v>
      </c>
      <c r="G103" s="1">
        <v>4</v>
      </c>
      <c r="H103" s="1" t="s">
        <v>29</v>
      </c>
      <c r="I103" s="1">
        <v>0</v>
      </c>
      <c r="J103" s="1"/>
      <c r="K103" s="24">
        <v>40338</v>
      </c>
      <c r="L103" s="1" t="s">
        <v>24</v>
      </c>
      <c r="M103" s="3" t="s">
        <v>156</v>
      </c>
      <c r="N103">
        <f>IF(AND( Table15[[#This Row],[Salary]] &gt;= 80000, OR(Table15[[#This Row],[Last_performance_rating]] = "C", Table15[[#This Row],[Last_performance_rating]] = "PIP")) =  TRUE, 1, 0)</f>
        <v>0</v>
      </c>
    </row>
    <row r="104" spans="1:14" x14ac:dyDescent="0.25">
      <c r="A104" s="2">
        <v>10063</v>
      </c>
      <c r="B104" s="22">
        <v>19212</v>
      </c>
      <c r="C104" s="1" t="s">
        <v>405</v>
      </c>
      <c r="D104" s="1" t="s">
        <v>406</v>
      </c>
      <c r="E104" s="1" t="s">
        <v>33</v>
      </c>
      <c r="F104" s="22">
        <v>32606</v>
      </c>
      <c r="G104" s="1">
        <v>1</v>
      </c>
      <c r="H104" s="1" t="s">
        <v>29</v>
      </c>
      <c r="I104" s="1">
        <v>0</v>
      </c>
      <c r="J104" s="1"/>
      <c r="K104" s="24">
        <v>40000</v>
      </c>
      <c r="L104" s="1" t="s">
        <v>24</v>
      </c>
      <c r="M104" s="3" t="s">
        <v>18</v>
      </c>
      <c r="N104">
        <f>IF(AND( Table15[[#This Row],[Salary]] &gt;= 80000, OR(Table15[[#This Row],[Last_performance_rating]] = "C", Table15[[#This Row],[Last_performance_rating]] = "PIP")) =  TRUE, 1, 0)</f>
        <v>0</v>
      </c>
    </row>
    <row r="105" spans="1:14" x14ac:dyDescent="0.25">
      <c r="A105" s="2">
        <v>10064</v>
      </c>
      <c r="B105" s="22">
        <v>21647</v>
      </c>
      <c r="C105" s="1" t="s">
        <v>408</v>
      </c>
      <c r="D105" s="1" t="s">
        <v>409</v>
      </c>
      <c r="E105" s="1" t="s">
        <v>13</v>
      </c>
      <c r="F105" s="22">
        <v>31371</v>
      </c>
      <c r="G105" s="1">
        <v>2</v>
      </c>
      <c r="H105" s="1" t="s">
        <v>29</v>
      </c>
      <c r="I105" s="1">
        <v>0</v>
      </c>
      <c r="J105" s="1"/>
      <c r="K105" s="24">
        <v>40000</v>
      </c>
      <c r="L105" s="1" t="s">
        <v>61</v>
      </c>
      <c r="M105" s="3" t="s">
        <v>41</v>
      </c>
      <c r="N105">
        <f>IF(AND( Table15[[#This Row],[Salary]] &gt;= 80000, OR(Table15[[#This Row],[Last_performance_rating]] = "C", Table15[[#This Row],[Last_performance_rating]] = "PIP")) =  TRUE, 1, 0)</f>
        <v>0</v>
      </c>
    </row>
    <row r="106" spans="1:14" x14ac:dyDescent="0.25">
      <c r="A106" s="2">
        <v>105597</v>
      </c>
      <c r="B106" s="22">
        <v>20681</v>
      </c>
      <c r="C106" s="1" t="s">
        <v>411</v>
      </c>
      <c r="D106" s="1" t="s">
        <v>412</v>
      </c>
      <c r="E106" s="1" t="s">
        <v>13</v>
      </c>
      <c r="F106" s="22">
        <v>31908</v>
      </c>
      <c r="G106" s="1">
        <v>2</v>
      </c>
      <c r="H106" s="1" t="s">
        <v>29</v>
      </c>
      <c r="I106" s="1">
        <v>0</v>
      </c>
      <c r="J106" s="1"/>
      <c r="K106" s="24">
        <v>43841</v>
      </c>
      <c r="L106" s="1" t="s">
        <v>46</v>
      </c>
      <c r="M106" s="3" t="s">
        <v>102</v>
      </c>
      <c r="N106">
        <f>IF(AND( Table15[[#This Row],[Salary]] &gt;= 80000, OR(Table15[[#This Row],[Last_performance_rating]] = "C", Table15[[#This Row],[Last_performance_rating]] = "PIP")) =  TRUE, 1, 0)</f>
        <v>0</v>
      </c>
    </row>
    <row r="107" spans="1:14" x14ac:dyDescent="0.25">
      <c r="A107" s="2">
        <v>10065</v>
      </c>
      <c r="B107" s="22">
        <v>23115</v>
      </c>
      <c r="C107" s="1" t="s">
        <v>415</v>
      </c>
      <c r="D107" s="1" t="s">
        <v>416</v>
      </c>
      <c r="E107" s="1" t="s">
        <v>13</v>
      </c>
      <c r="F107" s="22">
        <v>32281</v>
      </c>
      <c r="G107" s="1">
        <v>5</v>
      </c>
      <c r="H107" s="1" t="s">
        <v>35</v>
      </c>
      <c r="I107" s="1">
        <v>0</v>
      </c>
      <c r="J107" s="1"/>
      <c r="K107" s="24">
        <v>40000</v>
      </c>
      <c r="L107" s="1" t="s">
        <v>17</v>
      </c>
      <c r="M107" s="3" t="s">
        <v>55</v>
      </c>
      <c r="N107">
        <f>IF(AND( Table15[[#This Row],[Salary]] &gt;= 80000, OR(Table15[[#This Row],[Last_performance_rating]] = "C", Table15[[#This Row],[Last_performance_rating]] = "PIP")) =  TRUE, 1, 0)</f>
        <v>0</v>
      </c>
    </row>
    <row r="108" spans="1:14" x14ac:dyDescent="0.25">
      <c r="A108" s="2">
        <v>10066</v>
      </c>
      <c r="B108" s="22">
        <v>19311</v>
      </c>
      <c r="C108" s="1" t="s">
        <v>419</v>
      </c>
      <c r="D108" s="1" t="s">
        <v>420</v>
      </c>
      <c r="E108" s="1" t="s">
        <v>13</v>
      </c>
      <c r="F108" s="22">
        <v>31469</v>
      </c>
      <c r="G108" s="1">
        <v>1</v>
      </c>
      <c r="H108" s="1" t="s">
        <v>138</v>
      </c>
      <c r="I108" s="1">
        <v>0</v>
      </c>
      <c r="J108" s="1"/>
      <c r="K108" s="24">
        <v>69736</v>
      </c>
      <c r="L108" s="1" t="s">
        <v>17</v>
      </c>
      <c r="M108" s="3" t="s">
        <v>18</v>
      </c>
      <c r="N108">
        <f>IF(AND( Table15[[#This Row],[Salary]] &gt;= 80000, OR(Table15[[#This Row],[Last_performance_rating]] = "C", Table15[[#This Row],[Last_performance_rating]] = "PIP")) =  TRUE, 1, 0)</f>
        <v>0</v>
      </c>
    </row>
    <row r="109" spans="1:14" x14ac:dyDescent="0.25">
      <c r="A109" s="2">
        <v>244689</v>
      </c>
      <c r="B109" s="22">
        <v>20558</v>
      </c>
      <c r="C109" s="1" t="s">
        <v>423</v>
      </c>
      <c r="D109" s="1" t="s">
        <v>424</v>
      </c>
      <c r="E109" s="1" t="s">
        <v>13</v>
      </c>
      <c r="F109" s="22">
        <v>33483</v>
      </c>
      <c r="G109" s="1">
        <v>7</v>
      </c>
      <c r="H109" s="1" t="s">
        <v>35</v>
      </c>
      <c r="I109" s="1">
        <v>0</v>
      </c>
      <c r="J109" s="1"/>
      <c r="K109" s="24">
        <v>40000</v>
      </c>
      <c r="L109" s="1" t="s">
        <v>125</v>
      </c>
      <c r="M109" s="3" t="s">
        <v>41</v>
      </c>
      <c r="N109">
        <f>IF(AND( Table15[[#This Row],[Salary]] &gt;= 80000, OR(Table15[[#This Row],[Last_performance_rating]] = "C", Table15[[#This Row],[Last_performance_rating]] = "PIP")) =  TRUE, 1, 0)</f>
        <v>0</v>
      </c>
    </row>
    <row r="110" spans="1:14" x14ac:dyDescent="0.25">
      <c r="A110" s="2">
        <v>244689</v>
      </c>
      <c r="B110" s="22">
        <v>20558</v>
      </c>
      <c r="C110" s="1" t="s">
        <v>423</v>
      </c>
      <c r="D110" s="1" t="s">
        <v>424</v>
      </c>
      <c r="E110" s="1" t="s">
        <v>13</v>
      </c>
      <c r="F110" s="22">
        <v>33483</v>
      </c>
      <c r="G110" s="1">
        <v>7</v>
      </c>
      <c r="H110" s="1" t="s">
        <v>35</v>
      </c>
      <c r="I110" s="1">
        <v>0</v>
      </c>
      <c r="J110" s="1"/>
      <c r="K110" s="24">
        <v>40000</v>
      </c>
      <c r="L110" s="1" t="s">
        <v>46</v>
      </c>
      <c r="M110" s="3" t="s">
        <v>41</v>
      </c>
      <c r="N110">
        <f>IF(AND( Table15[[#This Row],[Salary]] &gt;= 80000, OR(Table15[[#This Row],[Last_performance_rating]] = "C", Table15[[#This Row],[Last_performance_rating]] = "PIP")) =  TRUE, 1, 0)</f>
        <v>0</v>
      </c>
    </row>
    <row r="111" spans="1:14" x14ac:dyDescent="0.25">
      <c r="A111" s="2">
        <v>10067</v>
      </c>
      <c r="B111" s="22">
        <v>19366</v>
      </c>
      <c r="C111" s="1" t="s">
        <v>427</v>
      </c>
      <c r="D111" s="1" t="s">
        <v>428</v>
      </c>
      <c r="E111" s="1" t="s">
        <v>13</v>
      </c>
      <c r="F111" s="22">
        <v>31840</v>
      </c>
      <c r="G111" s="1">
        <v>2</v>
      </c>
      <c r="H111" s="1" t="s">
        <v>15</v>
      </c>
      <c r="I111" s="1">
        <v>0</v>
      </c>
      <c r="J111" s="1"/>
      <c r="K111" s="24">
        <v>44642</v>
      </c>
      <c r="L111" s="1" t="s">
        <v>71</v>
      </c>
      <c r="M111" s="3" t="s">
        <v>18</v>
      </c>
      <c r="N111">
        <f>IF(AND( Table15[[#This Row],[Salary]] &gt;= 80000, OR(Table15[[#This Row],[Last_performance_rating]] = "C", Table15[[#This Row],[Last_performance_rating]] = "PIP")) =  TRUE, 1, 0)</f>
        <v>0</v>
      </c>
    </row>
    <row r="112" spans="1:14" x14ac:dyDescent="0.25">
      <c r="A112" s="2">
        <v>10068</v>
      </c>
      <c r="B112" s="22">
        <v>22976</v>
      </c>
      <c r="C112" s="1" t="s">
        <v>431</v>
      </c>
      <c r="D112" s="1" t="s">
        <v>432</v>
      </c>
      <c r="E112" s="1" t="s">
        <v>13</v>
      </c>
      <c r="F112" s="22">
        <v>31996</v>
      </c>
      <c r="G112" s="1">
        <v>6</v>
      </c>
      <c r="H112" s="1" t="s">
        <v>29</v>
      </c>
      <c r="I112" s="1">
        <v>0</v>
      </c>
      <c r="J112" s="1"/>
      <c r="K112" s="24">
        <v>87964</v>
      </c>
      <c r="L112" s="1" t="s">
        <v>40</v>
      </c>
      <c r="M112" s="3" t="s">
        <v>41</v>
      </c>
      <c r="N112">
        <f>IF(AND( Table15[[#This Row],[Salary]] &gt;= 80000, OR(Table15[[#This Row],[Last_performance_rating]] = "C", Table15[[#This Row],[Last_performance_rating]] = "PIP")) =  TRUE, 1, 0)</f>
        <v>0</v>
      </c>
    </row>
    <row r="113" spans="1:14" x14ac:dyDescent="0.25">
      <c r="A113" s="2">
        <v>48885</v>
      </c>
      <c r="B113" s="22">
        <v>21425</v>
      </c>
      <c r="C113" s="1" t="s">
        <v>435</v>
      </c>
      <c r="D113" s="1" t="s">
        <v>436</v>
      </c>
      <c r="E113" s="1" t="s">
        <v>13</v>
      </c>
      <c r="F113" s="22">
        <v>34018</v>
      </c>
      <c r="G113" s="1">
        <v>9</v>
      </c>
      <c r="H113" s="1" t="s">
        <v>35</v>
      </c>
      <c r="I113" s="1">
        <v>0</v>
      </c>
      <c r="J113" s="1"/>
      <c r="K113" s="24">
        <v>55736</v>
      </c>
      <c r="L113" s="1" t="s">
        <v>17</v>
      </c>
      <c r="M113" s="3" t="s">
        <v>18</v>
      </c>
      <c r="N113">
        <f>IF(AND( Table15[[#This Row],[Salary]] &gt;= 80000, OR(Table15[[#This Row],[Last_performance_rating]] = "C", Table15[[#This Row],[Last_performance_rating]] = "PIP")) =  TRUE, 1, 0)</f>
        <v>0</v>
      </c>
    </row>
    <row r="114" spans="1:14" x14ac:dyDescent="0.25">
      <c r="A114" s="2">
        <v>10069</v>
      </c>
      <c r="B114" s="22">
        <v>22165</v>
      </c>
      <c r="C114" s="1" t="s">
        <v>439</v>
      </c>
      <c r="D114" s="1" t="s">
        <v>440</v>
      </c>
      <c r="E114" s="1" t="s">
        <v>33</v>
      </c>
      <c r="F114" s="22">
        <v>32817</v>
      </c>
      <c r="G114" s="1">
        <v>10</v>
      </c>
      <c r="H114" s="1" t="s">
        <v>29</v>
      </c>
      <c r="I114" s="1">
        <v>0</v>
      </c>
      <c r="J114" s="1"/>
      <c r="K114" s="24">
        <v>67932</v>
      </c>
      <c r="L114" s="1" t="s">
        <v>24</v>
      </c>
      <c r="M114" s="3" t="s">
        <v>156</v>
      </c>
      <c r="N114">
        <f>IF(AND( Table15[[#This Row],[Salary]] &gt;= 80000, OR(Table15[[#This Row],[Last_performance_rating]] = "C", Table15[[#This Row],[Last_performance_rating]] = "PIP")) =  TRUE, 1, 0)</f>
        <v>0</v>
      </c>
    </row>
    <row r="115" spans="1:14" x14ac:dyDescent="0.25">
      <c r="A115" s="2">
        <v>10070</v>
      </c>
      <c r="B115" s="22">
        <v>20321</v>
      </c>
      <c r="C115" s="1" t="s">
        <v>443</v>
      </c>
      <c r="D115" s="1" t="s">
        <v>444</v>
      </c>
      <c r="E115" s="1" t="s">
        <v>13</v>
      </c>
      <c r="F115" s="22">
        <v>31334</v>
      </c>
      <c r="G115" s="1">
        <v>7</v>
      </c>
      <c r="H115" s="1" t="s">
        <v>29</v>
      </c>
      <c r="I115" s="1">
        <v>0</v>
      </c>
      <c r="J115" s="1"/>
      <c r="K115" s="24">
        <v>55999</v>
      </c>
      <c r="L115" s="1" t="s">
        <v>17</v>
      </c>
      <c r="M115" s="3" t="s">
        <v>156</v>
      </c>
      <c r="N115">
        <f>IF(AND( Table15[[#This Row],[Salary]] &gt;= 80000, OR(Table15[[#This Row],[Last_performance_rating]] = "C", Table15[[#This Row],[Last_performance_rating]] = "PIP")) =  TRUE, 1, 0)</f>
        <v>0</v>
      </c>
    </row>
    <row r="116" spans="1:14" x14ac:dyDescent="0.25">
      <c r="A116" s="2">
        <v>10070</v>
      </c>
      <c r="B116" s="22">
        <v>20321</v>
      </c>
      <c r="C116" s="1" t="s">
        <v>443</v>
      </c>
      <c r="D116" s="1" t="s">
        <v>444</v>
      </c>
      <c r="E116" s="1" t="s">
        <v>13</v>
      </c>
      <c r="F116" s="22">
        <v>31334</v>
      </c>
      <c r="G116" s="1">
        <v>7</v>
      </c>
      <c r="H116" s="1" t="s">
        <v>29</v>
      </c>
      <c r="I116" s="1">
        <v>0</v>
      </c>
      <c r="J116" s="1"/>
      <c r="K116" s="24">
        <v>55999</v>
      </c>
      <c r="L116" s="1" t="s">
        <v>61</v>
      </c>
      <c r="M116" s="3" t="s">
        <v>156</v>
      </c>
      <c r="N116">
        <f>IF(AND( Table15[[#This Row],[Salary]] &gt;= 80000, OR(Table15[[#This Row],[Last_performance_rating]] = "C", Table15[[#This Row],[Last_performance_rating]] = "PIP")) =  TRUE, 1, 0)</f>
        <v>0</v>
      </c>
    </row>
    <row r="117" spans="1:14" x14ac:dyDescent="0.25">
      <c r="A117" s="2">
        <v>244492</v>
      </c>
      <c r="B117" s="22">
        <v>21327</v>
      </c>
      <c r="C117" s="1" t="s">
        <v>447</v>
      </c>
      <c r="D117" s="1" t="s">
        <v>448</v>
      </c>
      <c r="E117" s="1" t="s">
        <v>13</v>
      </c>
      <c r="F117" s="22">
        <v>34534</v>
      </c>
      <c r="G117" s="1">
        <v>3</v>
      </c>
      <c r="H117" s="1" t="s">
        <v>15</v>
      </c>
      <c r="I117" s="1">
        <v>1</v>
      </c>
      <c r="J117" s="22">
        <v>36844</v>
      </c>
      <c r="K117" s="24">
        <v>63685</v>
      </c>
      <c r="L117" s="1" t="s">
        <v>17</v>
      </c>
      <c r="M117" s="3" t="s">
        <v>18</v>
      </c>
      <c r="N117">
        <f>IF(AND( Table15[[#This Row],[Salary]] &gt;= 80000, OR(Table15[[#This Row],[Last_performance_rating]] = "C", Table15[[#This Row],[Last_performance_rating]] = "PIP")) =  TRUE, 1, 0)</f>
        <v>0</v>
      </c>
    </row>
    <row r="118" spans="1:14" x14ac:dyDescent="0.25">
      <c r="A118" s="2">
        <v>10071</v>
      </c>
      <c r="B118" s="22">
        <v>21206</v>
      </c>
      <c r="C118" s="1" t="s">
        <v>452</v>
      </c>
      <c r="D118" s="1" t="s">
        <v>453</v>
      </c>
      <c r="E118" s="1" t="s">
        <v>13</v>
      </c>
      <c r="F118" s="22">
        <v>32051</v>
      </c>
      <c r="G118" s="1">
        <v>4</v>
      </c>
      <c r="H118" s="1" t="s">
        <v>35</v>
      </c>
      <c r="I118" s="1">
        <v>0</v>
      </c>
      <c r="J118" s="1"/>
      <c r="K118" s="24">
        <v>40000</v>
      </c>
      <c r="L118" s="1" t="s">
        <v>46</v>
      </c>
      <c r="M118" s="3" t="s">
        <v>41</v>
      </c>
      <c r="N118">
        <f>IF(AND( Table15[[#This Row],[Salary]] &gt;= 80000, OR(Table15[[#This Row],[Last_performance_rating]] = "C", Table15[[#This Row],[Last_performance_rating]] = "PIP")) =  TRUE, 1, 0)</f>
        <v>0</v>
      </c>
    </row>
    <row r="119" spans="1:14" x14ac:dyDescent="0.25">
      <c r="A119" s="2">
        <v>215615</v>
      </c>
      <c r="B119" s="22">
        <v>20864</v>
      </c>
      <c r="C119" s="1" t="s">
        <v>234</v>
      </c>
      <c r="D119" s="1" t="s">
        <v>456</v>
      </c>
      <c r="E119" s="1" t="s">
        <v>33</v>
      </c>
      <c r="F119" s="22">
        <v>32881</v>
      </c>
      <c r="G119" s="1">
        <v>10</v>
      </c>
      <c r="H119" s="1" t="s">
        <v>15</v>
      </c>
      <c r="I119" s="1">
        <v>0</v>
      </c>
      <c r="J119" s="1"/>
      <c r="K119" s="24">
        <v>40000</v>
      </c>
      <c r="L119" s="1" t="s">
        <v>24</v>
      </c>
      <c r="M119" s="3" t="s">
        <v>55</v>
      </c>
      <c r="N119">
        <f>IF(AND( Table15[[#This Row],[Salary]] &gt;= 80000, OR(Table15[[#This Row],[Last_performance_rating]] = "C", Table15[[#This Row],[Last_performance_rating]] = "PIP")) =  TRUE, 1, 0)</f>
        <v>0</v>
      </c>
    </row>
    <row r="120" spans="1:14" x14ac:dyDescent="0.25">
      <c r="A120" s="2">
        <v>215615</v>
      </c>
      <c r="B120" s="22">
        <v>20864</v>
      </c>
      <c r="C120" s="1" t="s">
        <v>234</v>
      </c>
      <c r="D120" s="1" t="s">
        <v>456</v>
      </c>
      <c r="E120" s="1" t="s">
        <v>33</v>
      </c>
      <c r="F120" s="22">
        <v>32881</v>
      </c>
      <c r="G120" s="1">
        <v>10</v>
      </c>
      <c r="H120" s="1" t="s">
        <v>15</v>
      </c>
      <c r="I120" s="1">
        <v>0</v>
      </c>
      <c r="J120" s="1"/>
      <c r="K120" s="24">
        <v>40000</v>
      </c>
      <c r="L120" s="1" t="s">
        <v>71</v>
      </c>
      <c r="M120" s="3" t="s">
        <v>55</v>
      </c>
      <c r="N120">
        <f>IF(AND( Table15[[#This Row],[Salary]] &gt;= 80000, OR(Table15[[#This Row],[Last_performance_rating]] = "C", Table15[[#This Row],[Last_performance_rating]] = "PIP")) =  TRUE, 1, 0)</f>
        <v>0</v>
      </c>
    </row>
    <row r="121" spans="1:14" x14ac:dyDescent="0.25">
      <c r="A121" s="2">
        <v>10072</v>
      </c>
      <c r="B121" s="22">
        <v>19129</v>
      </c>
      <c r="C121" s="1" t="s">
        <v>459</v>
      </c>
      <c r="D121" s="1" t="s">
        <v>460</v>
      </c>
      <c r="E121" s="1" t="s">
        <v>33</v>
      </c>
      <c r="F121" s="22">
        <v>32345</v>
      </c>
      <c r="G121" s="1">
        <v>8</v>
      </c>
      <c r="H121" s="1" t="s">
        <v>35</v>
      </c>
      <c r="I121" s="1">
        <v>0</v>
      </c>
      <c r="J121" s="1"/>
      <c r="K121" s="24">
        <v>40000</v>
      </c>
      <c r="L121" s="1" t="s">
        <v>17</v>
      </c>
      <c r="M121" s="3" t="s">
        <v>18</v>
      </c>
      <c r="N121">
        <f>IF(AND( Table15[[#This Row],[Salary]] &gt;= 80000, OR(Table15[[#This Row],[Last_performance_rating]] = "C", Table15[[#This Row],[Last_performance_rating]] = "PIP")) =  TRUE, 1, 0)</f>
        <v>0</v>
      </c>
    </row>
    <row r="122" spans="1:14" x14ac:dyDescent="0.25">
      <c r="A122" s="2">
        <v>10073</v>
      </c>
      <c r="B122" s="22">
        <v>19778</v>
      </c>
      <c r="C122" s="1" t="s">
        <v>463</v>
      </c>
      <c r="D122" s="1" t="s">
        <v>464</v>
      </c>
      <c r="E122" s="1" t="s">
        <v>13</v>
      </c>
      <c r="F122" s="22">
        <v>33573</v>
      </c>
      <c r="G122" s="1">
        <v>5</v>
      </c>
      <c r="H122" s="1" t="s">
        <v>15</v>
      </c>
      <c r="I122" s="1">
        <v>0</v>
      </c>
      <c r="J122" s="1"/>
      <c r="K122" s="24">
        <v>56473</v>
      </c>
      <c r="L122" s="1" t="s">
        <v>71</v>
      </c>
      <c r="M122" s="3" t="s">
        <v>55</v>
      </c>
      <c r="N122">
        <f>IF(AND( Table15[[#This Row],[Salary]] &gt;= 80000, OR(Table15[[#This Row],[Last_performance_rating]] = "C", Table15[[#This Row],[Last_performance_rating]] = "PIP")) =  TRUE, 1, 0)</f>
        <v>0</v>
      </c>
    </row>
    <row r="123" spans="1:14" x14ac:dyDescent="0.25">
      <c r="A123" s="2">
        <v>95280</v>
      </c>
      <c r="B123" s="22">
        <v>21960</v>
      </c>
      <c r="C123" s="1" t="s">
        <v>467</v>
      </c>
      <c r="D123" s="1" t="s">
        <v>468</v>
      </c>
      <c r="E123" s="1" t="s">
        <v>33</v>
      </c>
      <c r="F123" s="22">
        <v>31266</v>
      </c>
      <c r="G123" s="1">
        <v>10</v>
      </c>
      <c r="H123" s="1" t="s">
        <v>370</v>
      </c>
      <c r="I123" s="1">
        <v>0</v>
      </c>
      <c r="J123" s="1"/>
      <c r="K123" s="24">
        <v>40000</v>
      </c>
      <c r="L123" s="1" t="s">
        <v>24</v>
      </c>
      <c r="M123" s="3" t="s">
        <v>18</v>
      </c>
      <c r="N123">
        <f>IF(AND( Table15[[#This Row],[Salary]] &gt;= 80000, OR(Table15[[#This Row],[Last_performance_rating]] = "C", Table15[[#This Row],[Last_performance_rating]] = "PIP")) =  TRUE, 1, 0)</f>
        <v>0</v>
      </c>
    </row>
    <row r="124" spans="1:14" x14ac:dyDescent="0.25">
      <c r="A124" s="2">
        <v>10074</v>
      </c>
      <c r="B124" s="22">
        <v>20329</v>
      </c>
      <c r="C124" s="1" t="s">
        <v>471</v>
      </c>
      <c r="D124" s="1" t="s">
        <v>472</v>
      </c>
      <c r="E124" s="1" t="s">
        <v>33</v>
      </c>
      <c r="F124" s="22">
        <v>33098</v>
      </c>
      <c r="G124" s="1">
        <v>8</v>
      </c>
      <c r="H124" s="1" t="s">
        <v>138</v>
      </c>
      <c r="I124" s="1">
        <v>1</v>
      </c>
      <c r="J124" s="22">
        <v>34841</v>
      </c>
      <c r="K124" s="24">
        <v>61714</v>
      </c>
      <c r="L124" s="1" t="s">
        <v>17</v>
      </c>
      <c r="M124" s="3" t="s">
        <v>156</v>
      </c>
      <c r="N124">
        <f>IF(AND( Table15[[#This Row],[Salary]] &gt;= 80000, OR(Table15[[#This Row],[Last_performance_rating]] = "C", Table15[[#This Row],[Last_performance_rating]] = "PIP")) =  TRUE, 1, 0)</f>
        <v>0</v>
      </c>
    </row>
    <row r="125" spans="1:14" x14ac:dyDescent="0.25">
      <c r="A125" s="2">
        <v>10075</v>
      </c>
      <c r="B125" s="22">
        <v>21984</v>
      </c>
      <c r="C125" s="1" t="s">
        <v>476</v>
      </c>
      <c r="D125" s="1" t="s">
        <v>477</v>
      </c>
      <c r="E125" s="1" t="s">
        <v>33</v>
      </c>
      <c r="F125" s="22">
        <v>31855</v>
      </c>
      <c r="G125" s="1">
        <v>4</v>
      </c>
      <c r="H125" s="1" t="s">
        <v>35</v>
      </c>
      <c r="I125" s="1">
        <v>0</v>
      </c>
      <c r="J125" s="1"/>
      <c r="K125" s="24">
        <v>43815</v>
      </c>
      <c r="L125" s="1" t="s">
        <v>17</v>
      </c>
      <c r="M125" s="3" t="s">
        <v>18</v>
      </c>
      <c r="N125">
        <f>IF(AND( Table15[[#This Row],[Salary]] &gt;= 80000, OR(Table15[[#This Row],[Last_performance_rating]] = "C", Table15[[#This Row],[Last_performance_rating]] = "PIP")) =  TRUE, 1, 0)</f>
        <v>0</v>
      </c>
    </row>
    <row r="126" spans="1:14" x14ac:dyDescent="0.25">
      <c r="A126" s="2">
        <v>37473</v>
      </c>
      <c r="B126" s="22">
        <v>19059</v>
      </c>
      <c r="C126" s="1" t="s">
        <v>179</v>
      </c>
      <c r="D126" s="1" t="s">
        <v>480</v>
      </c>
      <c r="E126" s="1" t="s">
        <v>13</v>
      </c>
      <c r="F126" s="22">
        <v>34381</v>
      </c>
      <c r="G126" s="1">
        <v>3</v>
      </c>
      <c r="H126" s="1" t="s">
        <v>138</v>
      </c>
      <c r="I126" s="1">
        <v>0</v>
      </c>
      <c r="J126" s="1"/>
      <c r="K126" s="24">
        <v>55963</v>
      </c>
      <c r="L126" s="1" t="s">
        <v>108</v>
      </c>
      <c r="M126" s="3" t="s">
        <v>41</v>
      </c>
      <c r="N126">
        <f>IF(AND( Table15[[#This Row],[Salary]] &gt;= 80000, OR(Table15[[#This Row],[Last_performance_rating]] = "C", Table15[[#This Row],[Last_performance_rating]] = "PIP")) =  TRUE, 1, 0)</f>
        <v>0</v>
      </c>
    </row>
    <row r="127" spans="1:14" x14ac:dyDescent="0.25">
      <c r="A127" s="2">
        <v>10076</v>
      </c>
      <c r="B127" s="22">
        <v>19158</v>
      </c>
      <c r="C127" s="1" t="s">
        <v>483</v>
      </c>
      <c r="D127" s="1" t="s">
        <v>484</v>
      </c>
      <c r="E127" s="1" t="s">
        <v>33</v>
      </c>
      <c r="F127" s="22">
        <v>31237</v>
      </c>
      <c r="G127" s="1">
        <v>9</v>
      </c>
      <c r="H127" s="1" t="s">
        <v>35</v>
      </c>
      <c r="I127" s="1">
        <v>0</v>
      </c>
      <c r="J127" s="1"/>
      <c r="K127" s="24">
        <v>47319</v>
      </c>
      <c r="L127" s="1" t="s">
        <v>17</v>
      </c>
      <c r="M127" s="3" t="s">
        <v>18</v>
      </c>
      <c r="N127">
        <f>IF(AND( Table15[[#This Row],[Salary]] &gt;= 80000, OR(Table15[[#This Row],[Last_performance_rating]] = "C", Table15[[#This Row],[Last_performance_rating]] = "PIP")) =  TRUE, 1, 0)</f>
        <v>0</v>
      </c>
    </row>
    <row r="128" spans="1:14" x14ac:dyDescent="0.25">
      <c r="A128" s="2">
        <v>10077</v>
      </c>
      <c r="B128" s="22">
        <v>23485</v>
      </c>
      <c r="C128" s="1" t="s">
        <v>487</v>
      </c>
      <c r="D128" s="1" t="s">
        <v>488</v>
      </c>
      <c r="E128" s="1" t="s">
        <v>13</v>
      </c>
      <c r="F128" s="22">
        <v>32934</v>
      </c>
      <c r="G128" s="1">
        <v>2</v>
      </c>
      <c r="H128" s="1" t="s">
        <v>15</v>
      </c>
      <c r="I128" s="1">
        <v>0</v>
      </c>
      <c r="J128" s="1"/>
      <c r="K128" s="24">
        <v>40000</v>
      </c>
      <c r="L128" s="1" t="s">
        <v>46</v>
      </c>
      <c r="M128" s="3" t="s">
        <v>41</v>
      </c>
      <c r="N128">
        <f>IF(AND( Table15[[#This Row],[Salary]] &gt;= 80000, OR(Table15[[#This Row],[Last_performance_rating]] = "C", Table15[[#This Row],[Last_performance_rating]] = "PIP")) =  TRUE, 1, 0)</f>
        <v>0</v>
      </c>
    </row>
    <row r="129" spans="1:14" x14ac:dyDescent="0.25">
      <c r="A129" s="2">
        <v>43471</v>
      </c>
      <c r="B129" s="22">
        <v>23386</v>
      </c>
      <c r="C129" s="1" t="s">
        <v>491</v>
      </c>
      <c r="D129" s="1" t="s">
        <v>492</v>
      </c>
      <c r="E129" s="1" t="s">
        <v>33</v>
      </c>
      <c r="F129" s="22">
        <v>34829</v>
      </c>
      <c r="G129" s="1">
        <v>6</v>
      </c>
      <c r="H129" s="1" t="s">
        <v>35</v>
      </c>
      <c r="I129" s="1">
        <v>1</v>
      </c>
      <c r="J129" s="22">
        <v>39213</v>
      </c>
      <c r="K129" s="24">
        <v>40023</v>
      </c>
      <c r="L129" s="1" t="s">
        <v>24</v>
      </c>
      <c r="M129" s="3" t="s">
        <v>55</v>
      </c>
      <c r="N129">
        <f>IF(AND( Table15[[#This Row],[Salary]] &gt;= 80000, OR(Table15[[#This Row],[Last_performance_rating]] = "C", Table15[[#This Row],[Last_performance_rating]] = "PIP")) =  TRUE, 1, 0)</f>
        <v>0</v>
      </c>
    </row>
    <row r="130" spans="1:14" x14ac:dyDescent="0.25">
      <c r="A130" s="2">
        <v>10078</v>
      </c>
      <c r="B130" s="22">
        <v>21909</v>
      </c>
      <c r="C130" s="1" t="s">
        <v>496</v>
      </c>
      <c r="D130" s="1" t="s">
        <v>497</v>
      </c>
      <c r="E130" s="1" t="s">
        <v>33</v>
      </c>
      <c r="F130" s="22">
        <v>31923</v>
      </c>
      <c r="G130" s="1">
        <v>10</v>
      </c>
      <c r="H130" s="1" t="s">
        <v>29</v>
      </c>
      <c r="I130" s="1">
        <v>0</v>
      </c>
      <c r="J130" s="1"/>
      <c r="K130" s="24">
        <v>47280</v>
      </c>
      <c r="L130" s="1" t="s">
        <v>17</v>
      </c>
      <c r="M130" s="3" t="s">
        <v>55</v>
      </c>
      <c r="N130">
        <f>IF(AND( Table15[[#This Row],[Salary]] &gt;= 80000, OR(Table15[[#This Row],[Last_performance_rating]] = "C", Table15[[#This Row],[Last_performance_rating]] = "PIP")) =  TRUE, 1, 0)</f>
        <v>0</v>
      </c>
    </row>
    <row r="131" spans="1:14" x14ac:dyDescent="0.25">
      <c r="A131" s="2">
        <v>10079</v>
      </c>
      <c r="B131" s="22">
        <v>22559</v>
      </c>
      <c r="C131" s="1" t="s">
        <v>500</v>
      </c>
      <c r="D131" s="1" t="s">
        <v>501</v>
      </c>
      <c r="E131" s="1" t="s">
        <v>33</v>
      </c>
      <c r="F131" s="22">
        <v>31498</v>
      </c>
      <c r="G131" s="1">
        <v>2</v>
      </c>
      <c r="H131" s="1" t="s">
        <v>35</v>
      </c>
      <c r="I131" s="1">
        <v>0</v>
      </c>
      <c r="J131" s="1"/>
      <c r="K131" s="24">
        <v>53492</v>
      </c>
      <c r="L131" s="1" t="s">
        <v>17</v>
      </c>
      <c r="M131" s="3" t="s">
        <v>156</v>
      </c>
      <c r="N131">
        <f>IF(AND( Table15[[#This Row],[Salary]] &gt;= 80000, OR(Table15[[#This Row],[Last_performance_rating]] = "C", Table15[[#This Row],[Last_performance_rating]] = "PIP")) =  TRUE, 1, 0)</f>
        <v>0</v>
      </c>
    </row>
    <row r="132" spans="1:14" x14ac:dyDescent="0.25">
      <c r="A132" s="2">
        <v>289261</v>
      </c>
      <c r="B132" s="22">
        <v>21220</v>
      </c>
      <c r="C132" s="1" t="s">
        <v>504</v>
      </c>
      <c r="D132" s="1" t="s">
        <v>505</v>
      </c>
      <c r="E132" s="1" t="s">
        <v>13</v>
      </c>
      <c r="F132" s="22">
        <v>31321</v>
      </c>
      <c r="G132" s="1">
        <v>5</v>
      </c>
      <c r="H132" s="1" t="s">
        <v>35</v>
      </c>
      <c r="I132" s="1">
        <v>0</v>
      </c>
      <c r="J132" s="1"/>
      <c r="K132" s="24">
        <v>63068</v>
      </c>
      <c r="L132" s="1" t="s">
        <v>40</v>
      </c>
      <c r="M132" s="3" t="s">
        <v>41</v>
      </c>
      <c r="N132">
        <f>IF(AND( Table15[[#This Row],[Salary]] &gt;= 80000, OR(Table15[[#This Row],[Last_performance_rating]] = "C", Table15[[#This Row],[Last_performance_rating]] = "PIP")) =  TRUE, 1, 0)</f>
        <v>0</v>
      </c>
    </row>
    <row r="133" spans="1:14" x14ac:dyDescent="0.25">
      <c r="A133" s="2">
        <v>10080</v>
      </c>
      <c r="B133" s="22">
        <v>21157</v>
      </c>
      <c r="C133" s="1" t="s">
        <v>508</v>
      </c>
      <c r="D133" s="1" t="s">
        <v>509</v>
      </c>
      <c r="E133" s="1" t="s">
        <v>13</v>
      </c>
      <c r="F133" s="22">
        <v>31370</v>
      </c>
      <c r="G133" s="1">
        <v>3</v>
      </c>
      <c r="H133" s="1" t="s">
        <v>29</v>
      </c>
      <c r="I133" s="1">
        <v>0</v>
      </c>
      <c r="J133" s="1"/>
      <c r="K133" s="24">
        <v>54916</v>
      </c>
      <c r="L133" s="1" t="s">
        <v>108</v>
      </c>
      <c r="M133" s="3" t="s">
        <v>41</v>
      </c>
      <c r="N133">
        <f>IF(AND( Table15[[#This Row],[Salary]] &gt;= 80000, OR(Table15[[#This Row],[Last_performance_rating]] = "C", Table15[[#This Row],[Last_performance_rating]] = "PIP")) =  TRUE, 1, 0)</f>
        <v>0</v>
      </c>
    </row>
    <row r="134" spans="1:14" x14ac:dyDescent="0.25">
      <c r="A134" s="2">
        <v>10080</v>
      </c>
      <c r="B134" s="22">
        <v>21157</v>
      </c>
      <c r="C134" s="1" t="s">
        <v>508</v>
      </c>
      <c r="D134" s="1" t="s">
        <v>509</v>
      </c>
      <c r="E134" s="1" t="s">
        <v>13</v>
      </c>
      <c r="F134" s="22">
        <v>31370</v>
      </c>
      <c r="G134" s="1">
        <v>3</v>
      </c>
      <c r="H134" s="1" t="s">
        <v>29</v>
      </c>
      <c r="I134" s="1">
        <v>0</v>
      </c>
      <c r="J134" s="1"/>
      <c r="K134" s="24">
        <v>54916</v>
      </c>
      <c r="L134" s="1" t="s">
        <v>46</v>
      </c>
      <c r="M134" s="3" t="s">
        <v>41</v>
      </c>
      <c r="N134">
        <f>IF(AND( Table15[[#This Row],[Salary]] &gt;= 80000, OR(Table15[[#This Row],[Last_performance_rating]] = "C", Table15[[#This Row],[Last_performance_rating]] = "PIP")) =  TRUE, 1, 0)</f>
        <v>0</v>
      </c>
    </row>
    <row r="135" spans="1:14" x14ac:dyDescent="0.25">
      <c r="A135" s="2">
        <v>26941</v>
      </c>
      <c r="B135" s="22">
        <v>23347</v>
      </c>
      <c r="C135" s="1" t="s">
        <v>512</v>
      </c>
      <c r="D135" s="1" t="s">
        <v>513</v>
      </c>
      <c r="E135" s="1" t="s">
        <v>13</v>
      </c>
      <c r="F135" s="22">
        <v>32747</v>
      </c>
      <c r="G135" s="1">
        <v>7</v>
      </c>
      <c r="H135" s="1" t="s">
        <v>15</v>
      </c>
      <c r="I135" s="1">
        <v>0</v>
      </c>
      <c r="J135" s="1"/>
      <c r="K135" s="24">
        <v>40000</v>
      </c>
      <c r="L135" s="1" t="s">
        <v>17</v>
      </c>
      <c r="M135" s="3" t="s">
        <v>18</v>
      </c>
      <c r="N135">
        <f>IF(AND( Table15[[#This Row],[Salary]] &gt;= 80000, OR(Table15[[#This Row],[Last_performance_rating]] = "C", Table15[[#This Row],[Last_performance_rating]] = "PIP")) =  TRUE, 1, 0)</f>
        <v>0</v>
      </c>
    </row>
    <row r="136" spans="1:14" x14ac:dyDescent="0.25">
      <c r="A136" s="2">
        <v>10081</v>
      </c>
      <c r="B136" s="22">
        <v>22267</v>
      </c>
      <c r="C136" s="1" t="s">
        <v>516</v>
      </c>
      <c r="D136" s="1" t="s">
        <v>517</v>
      </c>
      <c r="E136" s="1" t="s">
        <v>13</v>
      </c>
      <c r="F136" s="22">
        <v>31715</v>
      </c>
      <c r="G136" s="1">
        <v>5</v>
      </c>
      <c r="H136" s="1" t="s">
        <v>29</v>
      </c>
      <c r="I136" s="1">
        <v>0</v>
      </c>
      <c r="J136" s="1"/>
      <c r="K136" s="24">
        <v>55786</v>
      </c>
      <c r="L136" s="1" t="s">
        <v>24</v>
      </c>
      <c r="M136" s="3" t="s">
        <v>18</v>
      </c>
      <c r="N136">
        <f>IF(AND( Table15[[#This Row],[Salary]] &gt;= 80000, OR(Table15[[#This Row],[Last_performance_rating]] = "C", Table15[[#This Row],[Last_performance_rating]] = "PIP")) =  TRUE, 1, 0)</f>
        <v>0</v>
      </c>
    </row>
    <row r="137" spans="1:14" x14ac:dyDescent="0.25">
      <c r="A137" s="2">
        <v>10082</v>
      </c>
      <c r="B137" s="22">
        <v>23263</v>
      </c>
      <c r="C137" s="1" t="s">
        <v>520</v>
      </c>
      <c r="D137" s="1" t="s">
        <v>255</v>
      </c>
      <c r="E137" s="1" t="s">
        <v>13</v>
      </c>
      <c r="F137" s="22">
        <v>32876</v>
      </c>
      <c r="G137" s="1">
        <v>9</v>
      </c>
      <c r="H137" s="1" t="s">
        <v>15</v>
      </c>
      <c r="I137" s="1">
        <v>1</v>
      </c>
      <c r="J137" s="22">
        <v>36631</v>
      </c>
      <c r="K137" s="24">
        <v>48935</v>
      </c>
      <c r="L137" s="1" t="s">
        <v>61</v>
      </c>
      <c r="M137" s="3" t="s">
        <v>41</v>
      </c>
      <c r="N137">
        <f>IF(AND( Table15[[#This Row],[Salary]] &gt;= 80000, OR(Table15[[#This Row],[Last_performance_rating]] = "C", Table15[[#This Row],[Last_performance_rating]] = "PIP")) =  TRUE, 1, 0)</f>
        <v>0</v>
      </c>
    </row>
    <row r="138" spans="1:14" x14ac:dyDescent="0.25">
      <c r="A138" s="2">
        <v>465253</v>
      </c>
      <c r="B138" s="22">
        <v>21038</v>
      </c>
      <c r="C138" s="1" t="s">
        <v>524</v>
      </c>
      <c r="D138" s="1" t="s">
        <v>525</v>
      </c>
      <c r="E138" s="1" t="s">
        <v>33</v>
      </c>
      <c r="F138" s="22">
        <v>33077</v>
      </c>
      <c r="G138" s="1">
        <v>5</v>
      </c>
      <c r="H138" s="1" t="s">
        <v>35</v>
      </c>
      <c r="I138" s="1">
        <v>0</v>
      </c>
      <c r="J138" s="1"/>
      <c r="K138" s="24">
        <v>43653</v>
      </c>
      <c r="L138" s="1" t="s">
        <v>24</v>
      </c>
      <c r="M138" s="3" t="s">
        <v>18</v>
      </c>
      <c r="N138">
        <f>IF(AND( Table15[[#This Row],[Salary]] &gt;= 80000, OR(Table15[[#This Row],[Last_performance_rating]] = "C", Table15[[#This Row],[Last_performance_rating]] = "PIP")) =  TRUE, 1, 0)</f>
        <v>0</v>
      </c>
    </row>
    <row r="139" spans="1:14" x14ac:dyDescent="0.25">
      <c r="A139" s="2">
        <v>10083</v>
      </c>
      <c r="B139" s="22">
        <v>21754</v>
      </c>
      <c r="C139" s="1" t="s">
        <v>528</v>
      </c>
      <c r="D139" s="1" t="s">
        <v>529</v>
      </c>
      <c r="E139" s="1" t="s">
        <v>13</v>
      </c>
      <c r="F139" s="22">
        <v>31867</v>
      </c>
      <c r="G139" s="1">
        <v>5</v>
      </c>
      <c r="H139" s="1" t="s">
        <v>15</v>
      </c>
      <c r="I139" s="1">
        <v>0</v>
      </c>
      <c r="J139" s="1"/>
      <c r="K139" s="24">
        <v>40000</v>
      </c>
      <c r="L139" s="1" t="s">
        <v>24</v>
      </c>
      <c r="M139" s="3" t="s">
        <v>18</v>
      </c>
      <c r="N139">
        <f>IF(AND( Table15[[#This Row],[Salary]] &gt;= 80000, OR(Table15[[#This Row],[Last_performance_rating]] = "C", Table15[[#This Row],[Last_performance_rating]] = "PIP")) =  TRUE, 1, 0)</f>
        <v>0</v>
      </c>
    </row>
    <row r="140" spans="1:14" x14ac:dyDescent="0.25">
      <c r="A140" s="2">
        <v>10084</v>
      </c>
      <c r="B140" s="22">
        <v>22061</v>
      </c>
      <c r="C140" s="1" t="s">
        <v>532</v>
      </c>
      <c r="D140" s="1" t="s">
        <v>64</v>
      </c>
      <c r="E140" s="1" t="s">
        <v>13</v>
      </c>
      <c r="F140" s="22">
        <v>35048</v>
      </c>
      <c r="G140" s="1">
        <v>7</v>
      </c>
      <c r="H140" s="1" t="s">
        <v>29</v>
      </c>
      <c r="I140" s="1">
        <v>0</v>
      </c>
      <c r="J140" s="1"/>
      <c r="K140" s="24">
        <v>69811</v>
      </c>
      <c r="L140" s="1" t="s">
        <v>24</v>
      </c>
      <c r="M140" s="3" t="s">
        <v>18</v>
      </c>
      <c r="N140">
        <f>IF(AND( Table15[[#This Row],[Salary]] &gt;= 80000, OR(Table15[[#This Row],[Last_performance_rating]] = "C", Table15[[#This Row],[Last_performance_rating]] = "PIP")) =  TRUE, 1, 0)</f>
        <v>0</v>
      </c>
    </row>
    <row r="141" spans="1:14" x14ac:dyDescent="0.25">
      <c r="A141" s="2">
        <v>444985</v>
      </c>
      <c r="B141" s="22">
        <v>20474</v>
      </c>
      <c r="C141" s="1" t="s">
        <v>535</v>
      </c>
      <c r="D141" s="1" t="s">
        <v>536</v>
      </c>
      <c r="E141" s="1" t="s">
        <v>33</v>
      </c>
      <c r="F141" s="22">
        <v>32949</v>
      </c>
      <c r="G141" s="1">
        <v>2</v>
      </c>
      <c r="H141" s="1" t="s">
        <v>35</v>
      </c>
      <c r="I141" s="1">
        <v>0</v>
      </c>
      <c r="J141" s="1"/>
      <c r="K141" s="24">
        <v>71042</v>
      </c>
      <c r="L141" s="1" t="s">
        <v>40</v>
      </c>
      <c r="M141" s="3" t="s">
        <v>41</v>
      </c>
      <c r="N141">
        <f>IF(AND( Table15[[#This Row],[Salary]] &gt;= 80000, OR(Table15[[#This Row],[Last_performance_rating]] = "C", Table15[[#This Row],[Last_performance_rating]] = "PIP")) =  TRUE, 1, 0)</f>
        <v>0</v>
      </c>
    </row>
    <row r="142" spans="1:14" x14ac:dyDescent="0.25">
      <c r="A142" s="2">
        <v>10085</v>
      </c>
      <c r="B142" s="22">
        <v>22957</v>
      </c>
      <c r="C142" s="1" t="s">
        <v>539</v>
      </c>
      <c r="D142" s="1" t="s">
        <v>540</v>
      </c>
      <c r="E142" s="1" t="s">
        <v>13</v>
      </c>
      <c r="F142" s="22">
        <v>34433</v>
      </c>
      <c r="G142" s="1">
        <v>4</v>
      </c>
      <c r="H142" s="1" t="s">
        <v>29</v>
      </c>
      <c r="I142" s="1">
        <v>0</v>
      </c>
      <c r="J142" s="1"/>
      <c r="K142" s="24">
        <v>40000</v>
      </c>
      <c r="L142" s="1" t="s">
        <v>24</v>
      </c>
      <c r="M142" s="3" t="s">
        <v>18</v>
      </c>
      <c r="N142">
        <f>IF(AND( Table15[[#This Row],[Salary]] &gt;= 80000, OR(Table15[[#This Row],[Last_performance_rating]] = "C", Table15[[#This Row],[Last_performance_rating]] = "PIP")) =  TRUE, 1, 0)</f>
        <v>0</v>
      </c>
    </row>
    <row r="143" spans="1:14" x14ac:dyDescent="0.25">
      <c r="A143" s="2">
        <v>10086</v>
      </c>
      <c r="B143" s="22">
        <v>22969</v>
      </c>
      <c r="C143" s="1" t="s">
        <v>543</v>
      </c>
      <c r="D143" s="1" t="s">
        <v>544</v>
      </c>
      <c r="E143" s="1" t="s">
        <v>13</v>
      </c>
      <c r="F143" s="22">
        <v>32920</v>
      </c>
      <c r="G143" s="1">
        <v>1</v>
      </c>
      <c r="H143" s="1" t="s">
        <v>35</v>
      </c>
      <c r="I143" s="1">
        <v>0</v>
      </c>
      <c r="J143" s="1"/>
      <c r="K143" s="24">
        <v>81613</v>
      </c>
      <c r="L143" s="1" t="s">
        <v>46</v>
      </c>
      <c r="M143" s="3" t="s">
        <v>41</v>
      </c>
      <c r="N143">
        <f>IF(AND( Table15[[#This Row],[Salary]] &gt;= 80000, OR(Table15[[#This Row],[Last_performance_rating]] = "C", Table15[[#This Row],[Last_performance_rating]] = "PIP")) =  TRUE, 1, 0)</f>
        <v>0</v>
      </c>
    </row>
    <row r="144" spans="1:14" x14ac:dyDescent="0.25">
      <c r="A144" s="2">
        <v>299898</v>
      </c>
      <c r="B144" s="22">
        <v>23422</v>
      </c>
      <c r="C144" s="1" t="s">
        <v>547</v>
      </c>
      <c r="D144" s="1" t="s">
        <v>548</v>
      </c>
      <c r="E144" s="1" t="s">
        <v>13</v>
      </c>
      <c r="F144" s="22">
        <v>32488</v>
      </c>
      <c r="G144" s="1">
        <v>8</v>
      </c>
      <c r="H144" s="1" t="s">
        <v>29</v>
      </c>
      <c r="I144" s="1">
        <v>0</v>
      </c>
      <c r="J144" s="1"/>
      <c r="K144" s="24">
        <v>63315</v>
      </c>
      <c r="L144" s="1" t="s">
        <v>125</v>
      </c>
      <c r="M144" s="3" t="s">
        <v>41</v>
      </c>
      <c r="N144">
        <f>IF(AND( Table15[[#This Row],[Salary]] &gt;= 80000, OR(Table15[[#This Row],[Last_performance_rating]] = "C", Table15[[#This Row],[Last_performance_rating]] = "PIP")) =  TRUE, 1, 0)</f>
        <v>0</v>
      </c>
    </row>
    <row r="145" spans="1:14" x14ac:dyDescent="0.25">
      <c r="A145" s="2">
        <v>10087</v>
      </c>
      <c r="B145" s="22">
        <v>21754</v>
      </c>
      <c r="C145" s="1" t="s">
        <v>550</v>
      </c>
      <c r="D145" s="1" t="s">
        <v>551</v>
      </c>
      <c r="E145" s="1" t="s">
        <v>33</v>
      </c>
      <c r="F145" s="22">
        <v>31663</v>
      </c>
      <c r="G145" s="1">
        <v>9</v>
      </c>
      <c r="H145" s="1" t="s">
        <v>29</v>
      </c>
      <c r="I145" s="1">
        <v>0</v>
      </c>
      <c r="J145" s="1"/>
      <c r="K145" s="24">
        <v>96750</v>
      </c>
      <c r="L145" s="1" t="s">
        <v>40</v>
      </c>
      <c r="M145" s="3" t="s">
        <v>41</v>
      </c>
      <c r="N145">
        <f>IF(AND( Table15[[#This Row],[Salary]] &gt;= 80000, OR(Table15[[#This Row],[Last_performance_rating]] = "C", Table15[[#This Row],[Last_performance_rating]] = "PIP")) =  TRUE, 1, 0)</f>
        <v>0</v>
      </c>
    </row>
    <row r="146" spans="1:14" x14ac:dyDescent="0.25">
      <c r="A146" s="2">
        <v>10088</v>
      </c>
      <c r="B146" s="22">
        <v>19780</v>
      </c>
      <c r="C146" s="1" t="s">
        <v>554</v>
      </c>
      <c r="D146" s="1" t="s">
        <v>555</v>
      </c>
      <c r="E146" s="1" t="s">
        <v>33</v>
      </c>
      <c r="F146" s="22">
        <v>32388</v>
      </c>
      <c r="G146" s="1">
        <v>9</v>
      </c>
      <c r="H146" s="1" t="s">
        <v>29</v>
      </c>
      <c r="I146" s="1">
        <v>1</v>
      </c>
      <c r="J146" s="22">
        <v>35964</v>
      </c>
      <c r="K146" s="24">
        <v>65957</v>
      </c>
      <c r="L146" s="1" t="s">
        <v>40</v>
      </c>
      <c r="M146" s="3" t="s">
        <v>41</v>
      </c>
      <c r="N146">
        <f>IF(AND( Table15[[#This Row],[Salary]] &gt;= 80000, OR(Table15[[#This Row],[Last_performance_rating]] = "C", Table15[[#This Row],[Last_performance_rating]] = "PIP")) =  TRUE, 1, 0)</f>
        <v>0</v>
      </c>
    </row>
    <row r="147" spans="1:14" x14ac:dyDescent="0.25">
      <c r="A147" s="2">
        <v>10088</v>
      </c>
      <c r="B147" s="22">
        <v>19780</v>
      </c>
      <c r="C147" s="1" t="s">
        <v>554</v>
      </c>
      <c r="D147" s="1" t="s">
        <v>555</v>
      </c>
      <c r="E147" s="1" t="s">
        <v>33</v>
      </c>
      <c r="F147" s="22">
        <v>32388</v>
      </c>
      <c r="G147" s="1">
        <v>9</v>
      </c>
      <c r="H147" s="1" t="s">
        <v>29</v>
      </c>
      <c r="I147" s="1">
        <v>1</v>
      </c>
      <c r="J147" s="22">
        <v>35964</v>
      </c>
      <c r="K147" s="24">
        <v>65957</v>
      </c>
      <c r="L147" s="1" t="s">
        <v>89</v>
      </c>
      <c r="M147" s="3" t="s">
        <v>41</v>
      </c>
      <c r="N147">
        <f>IF(AND( Table15[[#This Row],[Salary]] &gt;= 80000, OR(Table15[[#This Row],[Last_performance_rating]] = "C", Table15[[#This Row],[Last_performance_rating]] = "PIP")) =  TRUE, 1, 0)</f>
        <v>0</v>
      </c>
    </row>
    <row r="148" spans="1:14" x14ac:dyDescent="0.25">
      <c r="A148" s="2">
        <v>10089</v>
      </c>
      <c r="B148" s="22">
        <v>23091</v>
      </c>
      <c r="C148" s="1" t="s">
        <v>559</v>
      </c>
      <c r="D148" s="1" t="s">
        <v>560</v>
      </c>
      <c r="E148" s="1" t="s">
        <v>33</v>
      </c>
      <c r="F148" s="22">
        <v>31636</v>
      </c>
      <c r="G148" s="1">
        <v>4</v>
      </c>
      <c r="H148" s="1" t="s">
        <v>15</v>
      </c>
      <c r="I148" s="1">
        <v>0</v>
      </c>
      <c r="J148" s="1"/>
      <c r="K148" s="24">
        <v>56469</v>
      </c>
      <c r="L148" s="1" t="s">
        <v>40</v>
      </c>
      <c r="M148" s="3" t="s">
        <v>41</v>
      </c>
      <c r="N148">
        <f>IF(AND( Table15[[#This Row],[Salary]] &gt;= 80000, OR(Table15[[#This Row],[Last_performance_rating]] = "C", Table15[[#This Row],[Last_performance_rating]] = "PIP")) =  TRUE, 1, 0)</f>
        <v>0</v>
      </c>
    </row>
    <row r="149" spans="1:14" x14ac:dyDescent="0.25">
      <c r="A149" s="2">
        <v>425023</v>
      </c>
      <c r="B149" s="22">
        <v>19575</v>
      </c>
      <c r="C149" s="1" t="s">
        <v>563</v>
      </c>
      <c r="D149" s="1" t="s">
        <v>564</v>
      </c>
      <c r="E149" s="1" t="s">
        <v>13</v>
      </c>
      <c r="F149" s="22">
        <v>33195</v>
      </c>
      <c r="G149" s="1">
        <v>8</v>
      </c>
      <c r="H149" s="1" t="s">
        <v>15</v>
      </c>
      <c r="I149" s="1">
        <v>0</v>
      </c>
      <c r="J149" s="1"/>
      <c r="K149" s="24">
        <v>45682</v>
      </c>
      <c r="L149" s="1" t="s">
        <v>17</v>
      </c>
      <c r="M149" s="3" t="s">
        <v>18</v>
      </c>
      <c r="N149">
        <f>IF(AND( Table15[[#This Row],[Salary]] &gt;= 80000, OR(Table15[[#This Row],[Last_performance_rating]] = "C", Table15[[#This Row],[Last_performance_rating]] = "PIP")) =  TRUE, 1, 0)</f>
        <v>0</v>
      </c>
    </row>
    <row r="150" spans="1:14" x14ac:dyDescent="0.25">
      <c r="A150" s="2">
        <v>10090</v>
      </c>
      <c r="B150" s="22">
        <v>22431</v>
      </c>
      <c r="C150" s="1" t="s">
        <v>567</v>
      </c>
      <c r="D150" s="1" t="s">
        <v>568</v>
      </c>
      <c r="E150" s="1" t="s">
        <v>13</v>
      </c>
      <c r="F150" s="22">
        <v>31485</v>
      </c>
      <c r="G150" s="1">
        <v>7</v>
      </c>
      <c r="H150" s="1" t="s">
        <v>15</v>
      </c>
      <c r="I150" s="1">
        <v>0</v>
      </c>
      <c r="J150" s="1"/>
      <c r="K150" s="24">
        <v>44978</v>
      </c>
      <c r="L150" s="1" t="s">
        <v>17</v>
      </c>
      <c r="M150" s="3" t="s">
        <v>18</v>
      </c>
      <c r="N150">
        <f>IF(AND( Table15[[#This Row],[Salary]] &gt;= 80000, OR(Table15[[#This Row],[Last_performance_rating]] = "C", Table15[[#This Row],[Last_performance_rating]] = "PIP")) =  TRUE, 1, 0)</f>
        <v>0</v>
      </c>
    </row>
    <row r="151" spans="1:14" x14ac:dyDescent="0.25">
      <c r="A151" s="2">
        <v>10091</v>
      </c>
      <c r="B151" s="22">
        <v>20366</v>
      </c>
      <c r="C151" s="1" t="s">
        <v>571</v>
      </c>
      <c r="D151" s="1" t="s">
        <v>572</v>
      </c>
      <c r="E151" s="1" t="s">
        <v>13</v>
      </c>
      <c r="F151" s="22">
        <v>33926</v>
      </c>
      <c r="G151" s="1">
        <v>5</v>
      </c>
      <c r="H151" s="1" t="s">
        <v>29</v>
      </c>
      <c r="I151" s="1">
        <v>0</v>
      </c>
      <c r="J151" s="1"/>
      <c r="K151" s="24">
        <v>40000</v>
      </c>
      <c r="L151" s="1" t="s">
        <v>17</v>
      </c>
      <c r="M151" s="3" t="s">
        <v>18</v>
      </c>
      <c r="N151">
        <f>IF(AND( Table15[[#This Row],[Salary]] &gt;= 80000, OR(Table15[[#This Row],[Last_performance_rating]] = "C", Table15[[#This Row],[Last_performance_rating]] = "PIP")) =  TRUE, 1, 0)</f>
        <v>0</v>
      </c>
    </row>
    <row r="152" spans="1:14" x14ac:dyDescent="0.25">
      <c r="A152" s="2">
        <v>411614</v>
      </c>
      <c r="B152" s="22">
        <v>21273</v>
      </c>
      <c r="C152" s="1" t="s">
        <v>575</v>
      </c>
      <c r="D152" s="1" t="s">
        <v>576</v>
      </c>
      <c r="E152" s="1" t="s">
        <v>13</v>
      </c>
      <c r="F152" s="22">
        <v>33649</v>
      </c>
      <c r="G152" s="1">
        <v>1</v>
      </c>
      <c r="H152" s="1" t="s">
        <v>35</v>
      </c>
      <c r="I152" s="1">
        <v>0</v>
      </c>
      <c r="J152" s="1"/>
      <c r="K152" s="24">
        <v>54770</v>
      </c>
      <c r="L152" s="1" t="s">
        <v>17</v>
      </c>
      <c r="M152" s="3" t="s">
        <v>18</v>
      </c>
      <c r="N152">
        <f>IF(AND( Table15[[#This Row],[Salary]] &gt;= 80000, OR(Table15[[#This Row],[Last_performance_rating]] = "C", Table15[[#This Row],[Last_performance_rating]] = "PIP")) =  TRUE, 1, 0)</f>
        <v>0</v>
      </c>
    </row>
    <row r="153" spans="1:14" x14ac:dyDescent="0.25">
      <c r="A153" s="2">
        <v>10092</v>
      </c>
      <c r="B153" s="22">
        <v>23668</v>
      </c>
      <c r="C153" s="1" t="s">
        <v>579</v>
      </c>
      <c r="D153" s="1" t="s">
        <v>580</v>
      </c>
      <c r="E153" s="1" t="s">
        <v>33</v>
      </c>
      <c r="F153" s="22">
        <v>32773</v>
      </c>
      <c r="G153" s="1">
        <v>10</v>
      </c>
      <c r="H153" s="1" t="s">
        <v>15</v>
      </c>
      <c r="I153" s="1">
        <v>0</v>
      </c>
      <c r="J153" s="1"/>
      <c r="K153" s="24">
        <v>53977</v>
      </c>
      <c r="L153" s="1" t="s">
        <v>17</v>
      </c>
      <c r="M153" s="3" t="s">
        <v>55</v>
      </c>
      <c r="N153">
        <f>IF(AND( Table15[[#This Row],[Salary]] &gt;= 80000, OR(Table15[[#This Row],[Last_performance_rating]] = "C", Table15[[#This Row],[Last_performance_rating]] = "PIP")) =  TRUE, 1, 0)</f>
        <v>0</v>
      </c>
    </row>
    <row r="154" spans="1:14" x14ac:dyDescent="0.25">
      <c r="A154" s="2">
        <v>10093</v>
      </c>
      <c r="B154" s="22">
        <v>23539</v>
      </c>
      <c r="C154" s="1" t="s">
        <v>583</v>
      </c>
      <c r="D154" s="1" t="s">
        <v>584</v>
      </c>
      <c r="E154" s="1" t="s">
        <v>13</v>
      </c>
      <c r="F154" s="22">
        <v>35374</v>
      </c>
      <c r="G154" s="1">
        <v>8</v>
      </c>
      <c r="H154" s="1" t="s">
        <v>35</v>
      </c>
      <c r="I154" s="1">
        <v>0</v>
      </c>
      <c r="J154" s="1"/>
      <c r="K154" s="24">
        <v>67856</v>
      </c>
      <c r="L154" s="1" t="s">
        <v>40</v>
      </c>
      <c r="M154" s="3" t="s">
        <v>41</v>
      </c>
      <c r="N154">
        <f>IF(AND( Table15[[#This Row],[Salary]] &gt;= 80000, OR(Table15[[#This Row],[Last_performance_rating]] = "C", Table15[[#This Row],[Last_performance_rating]] = "PIP")) =  TRUE, 1, 0)</f>
        <v>0</v>
      </c>
    </row>
    <row r="155" spans="1:14" x14ac:dyDescent="0.25">
      <c r="A155" s="2">
        <v>425656</v>
      </c>
      <c r="B155" s="22">
        <v>23660</v>
      </c>
      <c r="C155" s="1" t="s">
        <v>587</v>
      </c>
      <c r="D155" s="1" t="s">
        <v>588</v>
      </c>
      <c r="E155" s="1" t="s">
        <v>13</v>
      </c>
      <c r="F155" s="22">
        <v>31959</v>
      </c>
      <c r="G155" s="1">
        <v>4</v>
      </c>
      <c r="H155" s="1" t="s">
        <v>35</v>
      </c>
      <c r="I155" s="1">
        <v>0</v>
      </c>
      <c r="J155" s="1"/>
      <c r="K155" s="24">
        <v>40000</v>
      </c>
      <c r="L155" s="1" t="s">
        <v>61</v>
      </c>
      <c r="M155" s="3" t="s">
        <v>41</v>
      </c>
      <c r="N155">
        <f>IF(AND( Table15[[#This Row],[Salary]] &gt;= 80000, OR(Table15[[#This Row],[Last_performance_rating]] = "C", Table15[[#This Row],[Last_performance_rating]] = "PIP")) =  TRUE, 1, 0)</f>
        <v>0</v>
      </c>
    </row>
    <row r="156" spans="1:14" x14ac:dyDescent="0.25">
      <c r="A156" s="2">
        <v>10094</v>
      </c>
      <c r="B156" s="22">
        <v>20965</v>
      </c>
      <c r="C156" s="1" t="s">
        <v>591</v>
      </c>
      <c r="D156" s="1" t="s">
        <v>592</v>
      </c>
      <c r="E156" s="1" t="s">
        <v>33</v>
      </c>
      <c r="F156" s="22">
        <v>31885</v>
      </c>
      <c r="G156" s="1">
        <v>10</v>
      </c>
      <c r="H156" s="1" t="s">
        <v>35</v>
      </c>
      <c r="I156" s="1">
        <v>0</v>
      </c>
      <c r="J156" s="1"/>
      <c r="K156" s="24">
        <v>58001</v>
      </c>
      <c r="L156" s="1" t="s">
        <v>61</v>
      </c>
      <c r="M156" s="3" t="s">
        <v>102</v>
      </c>
      <c r="N156">
        <f>IF(AND( Table15[[#This Row],[Salary]] &gt;= 80000, OR(Table15[[#This Row],[Last_performance_rating]] = "C", Table15[[#This Row],[Last_performance_rating]] = "PIP")) =  TRUE, 1, 0)</f>
        <v>0</v>
      </c>
    </row>
    <row r="157" spans="1:14" x14ac:dyDescent="0.25">
      <c r="A157" s="2">
        <v>10095</v>
      </c>
      <c r="B157" s="22">
        <v>23745</v>
      </c>
      <c r="C157" s="1" t="s">
        <v>595</v>
      </c>
      <c r="D157" s="1" t="s">
        <v>596</v>
      </c>
      <c r="E157" s="1" t="s">
        <v>13</v>
      </c>
      <c r="F157" s="22">
        <v>31608</v>
      </c>
      <c r="G157" s="1">
        <v>8</v>
      </c>
      <c r="H157" s="1" t="s">
        <v>15</v>
      </c>
      <c r="I157" s="1">
        <v>0</v>
      </c>
      <c r="J157" s="1"/>
      <c r="K157" s="24">
        <v>63668</v>
      </c>
      <c r="L157" s="1" t="s">
        <v>40</v>
      </c>
      <c r="M157" s="3" t="s">
        <v>41</v>
      </c>
      <c r="N157">
        <f>IF(AND( Table15[[#This Row],[Salary]] &gt;= 80000, OR(Table15[[#This Row],[Last_performance_rating]] = "C", Table15[[#This Row],[Last_performance_rating]] = "PIP")) =  TRUE, 1, 0)</f>
        <v>0</v>
      </c>
    </row>
    <row r="158" spans="1:14" x14ac:dyDescent="0.25">
      <c r="A158" s="2">
        <v>252000</v>
      </c>
      <c r="B158" s="22">
        <v>19331</v>
      </c>
      <c r="C158" s="1" t="s">
        <v>599</v>
      </c>
      <c r="D158" s="1" t="s">
        <v>600</v>
      </c>
      <c r="E158" s="1" t="s">
        <v>33</v>
      </c>
      <c r="F158" s="22">
        <v>32569</v>
      </c>
      <c r="G158" s="1">
        <v>10</v>
      </c>
      <c r="H158" s="1" t="s">
        <v>35</v>
      </c>
      <c r="I158" s="1">
        <v>0</v>
      </c>
      <c r="J158" s="1"/>
      <c r="K158" s="24">
        <v>40000</v>
      </c>
      <c r="L158" s="1" t="s">
        <v>71</v>
      </c>
      <c r="M158" s="3" t="s">
        <v>66</v>
      </c>
      <c r="N158">
        <f>IF(AND( Table15[[#This Row],[Salary]] &gt;= 80000, OR(Table15[[#This Row],[Last_performance_rating]] = "C", Table15[[#This Row],[Last_performance_rating]] = "PIP")) =  TRUE, 1, 0)</f>
        <v>0</v>
      </c>
    </row>
    <row r="159" spans="1:14" x14ac:dyDescent="0.25">
      <c r="A159" s="2">
        <v>10096</v>
      </c>
      <c r="B159" s="22">
        <v>19983</v>
      </c>
      <c r="C159" s="1" t="s">
        <v>603</v>
      </c>
      <c r="D159" s="1" t="s">
        <v>604</v>
      </c>
      <c r="E159" s="1" t="s">
        <v>13</v>
      </c>
      <c r="F159" s="22">
        <v>32887</v>
      </c>
      <c r="G159" s="1">
        <v>1</v>
      </c>
      <c r="H159" s="1" t="s">
        <v>370</v>
      </c>
      <c r="I159" s="1">
        <v>0</v>
      </c>
      <c r="J159" s="1"/>
      <c r="K159" s="24">
        <v>61395</v>
      </c>
      <c r="L159" s="1" t="s">
        <v>24</v>
      </c>
      <c r="M159" s="3" t="s">
        <v>55</v>
      </c>
      <c r="N159">
        <f>IF(AND( Table15[[#This Row],[Salary]] &gt;= 80000, OR(Table15[[#This Row],[Last_performance_rating]] = "C", Table15[[#This Row],[Last_performance_rating]] = "PIP")) =  TRUE, 1, 0)</f>
        <v>0</v>
      </c>
    </row>
    <row r="160" spans="1:14" x14ac:dyDescent="0.25">
      <c r="A160" s="2">
        <v>10097</v>
      </c>
      <c r="B160" s="22">
        <v>19051</v>
      </c>
      <c r="C160" s="1" t="s">
        <v>607</v>
      </c>
      <c r="D160" s="1" t="s">
        <v>608</v>
      </c>
      <c r="E160" s="1" t="s">
        <v>13</v>
      </c>
      <c r="F160" s="22">
        <v>33131</v>
      </c>
      <c r="G160" s="1">
        <v>2</v>
      </c>
      <c r="H160" s="1" t="s">
        <v>29</v>
      </c>
      <c r="I160" s="1">
        <v>0</v>
      </c>
      <c r="J160" s="1"/>
      <c r="K160" s="24">
        <v>44886</v>
      </c>
      <c r="L160" s="1" t="s">
        <v>61</v>
      </c>
      <c r="M160" s="3" t="s">
        <v>41</v>
      </c>
      <c r="N160">
        <f>IF(AND( Table15[[#This Row],[Salary]] &gt;= 80000, OR(Table15[[#This Row],[Last_performance_rating]] = "C", Table15[[#This Row],[Last_performance_rating]] = "PIP")) =  TRUE, 1, 0)</f>
        <v>0</v>
      </c>
    </row>
    <row r="161" spans="1:14" x14ac:dyDescent="0.25">
      <c r="A161" s="2">
        <v>10098</v>
      </c>
      <c r="B161" s="22">
        <v>22547</v>
      </c>
      <c r="C161" s="1" t="s">
        <v>611</v>
      </c>
      <c r="D161" s="1" t="s">
        <v>612</v>
      </c>
      <c r="E161" s="1" t="s">
        <v>33</v>
      </c>
      <c r="F161" s="22">
        <v>31180</v>
      </c>
      <c r="G161" s="1">
        <v>4</v>
      </c>
      <c r="H161" s="1" t="s">
        <v>29</v>
      </c>
      <c r="I161" s="1">
        <v>0</v>
      </c>
      <c r="J161" s="1"/>
      <c r="K161" s="24">
        <v>40000</v>
      </c>
      <c r="L161" s="1" t="s">
        <v>24</v>
      </c>
      <c r="M161" s="3" t="s">
        <v>18</v>
      </c>
      <c r="N161">
        <f>IF(AND( Table15[[#This Row],[Salary]] &gt;= 80000, OR(Table15[[#This Row],[Last_performance_rating]] = "C", Table15[[#This Row],[Last_performance_rating]] = "PIP")) =  TRUE, 1, 0)</f>
        <v>0</v>
      </c>
    </row>
    <row r="162" spans="1:14" x14ac:dyDescent="0.25">
      <c r="A162" s="2">
        <v>10098</v>
      </c>
      <c r="B162" s="22">
        <v>22547</v>
      </c>
      <c r="C162" s="1" t="s">
        <v>611</v>
      </c>
      <c r="D162" s="1" t="s">
        <v>612</v>
      </c>
      <c r="E162" s="1" t="s">
        <v>33</v>
      </c>
      <c r="F162" s="22">
        <v>31180</v>
      </c>
      <c r="G162" s="1">
        <v>4</v>
      </c>
      <c r="H162" s="1" t="s">
        <v>29</v>
      </c>
      <c r="I162" s="1">
        <v>0</v>
      </c>
      <c r="J162" s="1"/>
      <c r="K162" s="24">
        <v>40000</v>
      </c>
      <c r="L162" s="1" t="s">
        <v>89</v>
      </c>
      <c r="M162" s="3" t="s">
        <v>18</v>
      </c>
      <c r="N162">
        <f>IF(AND( Table15[[#This Row],[Salary]] &gt;= 80000, OR(Table15[[#This Row],[Last_performance_rating]] = "C", Table15[[#This Row],[Last_performance_rating]] = "PIP")) =  TRUE, 1, 0)</f>
        <v>0</v>
      </c>
    </row>
    <row r="163" spans="1:14" x14ac:dyDescent="0.25">
      <c r="A163" s="2">
        <v>103676</v>
      </c>
      <c r="B163" s="22">
        <v>23713</v>
      </c>
      <c r="C163" s="1" t="s">
        <v>615</v>
      </c>
      <c r="D163" s="1" t="s">
        <v>616</v>
      </c>
      <c r="E163" s="1" t="s">
        <v>33</v>
      </c>
      <c r="F163" s="22">
        <v>31995</v>
      </c>
      <c r="G163" s="1">
        <v>3</v>
      </c>
      <c r="H163" s="1" t="s">
        <v>35</v>
      </c>
      <c r="I163" s="1">
        <v>0</v>
      </c>
      <c r="J163" s="1"/>
      <c r="K163" s="24">
        <v>62128</v>
      </c>
      <c r="L163" s="1" t="s">
        <v>24</v>
      </c>
      <c r="M163" s="3" t="s">
        <v>18</v>
      </c>
      <c r="N163">
        <f>IF(AND( Table15[[#This Row],[Salary]] &gt;= 80000, OR(Table15[[#This Row],[Last_performance_rating]] = "C", Table15[[#This Row],[Last_performance_rating]] = "PIP")) =  TRUE, 1, 0)</f>
        <v>0</v>
      </c>
    </row>
    <row r="164" spans="1:14" x14ac:dyDescent="0.25">
      <c r="A164" s="2">
        <v>103676</v>
      </c>
      <c r="B164" s="22">
        <v>23713</v>
      </c>
      <c r="C164" s="1" t="s">
        <v>615</v>
      </c>
      <c r="D164" s="1" t="s">
        <v>616</v>
      </c>
      <c r="E164" s="1" t="s">
        <v>33</v>
      </c>
      <c r="F164" s="22">
        <v>31995</v>
      </c>
      <c r="G164" s="1">
        <v>3</v>
      </c>
      <c r="H164" s="1" t="s">
        <v>35</v>
      </c>
      <c r="I164" s="1">
        <v>0</v>
      </c>
      <c r="J164" s="1"/>
      <c r="K164" s="24">
        <v>62128</v>
      </c>
      <c r="L164" s="1" t="s">
        <v>17</v>
      </c>
      <c r="M164" s="3" t="s">
        <v>18</v>
      </c>
      <c r="N164">
        <f>IF(AND( Table15[[#This Row],[Salary]] &gt;= 80000, OR(Table15[[#This Row],[Last_performance_rating]] = "C", Table15[[#This Row],[Last_performance_rating]] = "PIP")) =  TRUE, 1, 0)</f>
        <v>0</v>
      </c>
    </row>
    <row r="165" spans="1:14" x14ac:dyDescent="0.25">
      <c r="A165" s="2">
        <v>10099</v>
      </c>
      <c r="B165" s="22">
        <v>20600</v>
      </c>
      <c r="C165" s="1" t="s">
        <v>619</v>
      </c>
      <c r="D165" s="1" t="s">
        <v>620</v>
      </c>
      <c r="E165" s="1" t="s">
        <v>33</v>
      </c>
      <c r="F165" s="22">
        <v>32434</v>
      </c>
      <c r="G165" s="1">
        <v>5</v>
      </c>
      <c r="H165" s="1" t="s">
        <v>15</v>
      </c>
      <c r="I165" s="1">
        <v>0</v>
      </c>
      <c r="J165" s="1"/>
      <c r="K165" s="24">
        <v>68781</v>
      </c>
      <c r="L165" s="1" t="s">
        <v>40</v>
      </c>
      <c r="M165" s="3" t="s">
        <v>41</v>
      </c>
      <c r="N165">
        <f>IF(AND( Table15[[#This Row],[Salary]] &gt;= 80000, OR(Table15[[#This Row],[Last_performance_rating]] = "C", Table15[[#This Row],[Last_performance_rating]] = "PIP")) =  TRUE, 1, 0)</f>
        <v>0</v>
      </c>
    </row>
    <row r="166" spans="1:14" x14ac:dyDescent="0.25">
      <c r="A166" s="2">
        <v>10100</v>
      </c>
      <c r="B166" s="22">
        <v>19470</v>
      </c>
      <c r="C166" s="1" t="s">
        <v>623</v>
      </c>
      <c r="D166" s="1" t="s">
        <v>624</v>
      </c>
      <c r="E166" s="1" t="s">
        <v>33</v>
      </c>
      <c r="F166" s="22">
        <v>32041</v>
      </c>
      <c r="G166" s="1">
        <v>6</v>
      </c>
      <c r="H166" s="1" t="s">
        <v>35</v>
      </c>
      <c r="I166" s="1">
        <v>0</v>
      </c>
      <c r="J166" s="1"/>
      <c r="K166" s="24">
        <v>54398</v>
      </c>
      <c r="L166" s="1" t="s">
        <v>46</v>
      </c>
      <c r="M166" s="3" t="s">
        <v>41</v>
      </c>
      <c r="N166">
        <f>IF(AND( Table15[[#This Row],[Salary]] &gt;= 80000, OR(Table15[[#This Row],[Last_performance_rating]] = "C", Table15[[#This Row],[Last_performance_rating]] = "PIP")) =  TRUE, 1, 0)</f>
        <v>0</v>
      </c>
    </row>
    <row r="167" spans="1:14" x14ac:dyDescent="0.25">
      <c r="A167" s="2">
        <v>93916</v>
      </c>
      <c r="B167" s="22">
        <v>21046</v>
      </c>
      <c r="C167" s="1" t="s">
        <v>626</v>
      </c>
      <c r="D167" s="1" t="s">
        <v>627</v>
      </c>
      <c r="E167" s="1" t="s">
        <v>33</v>
      </c>
      <c r="F167" s="22">
        <v>36106</v>
      </c>
      <c r="G167" s="1">
        <v>3</v>
      </c>
      <c r="H167" s="1" t="s">
        <v>35</v>
      </c>
      <c r="I167" s="1">
        <v>0</v>
      </c>
      <c r="J167" s="1"/>
      <c r="K167" s="24">
        <v>53040</v>
      </c>
      <c r="L167" s="1" t="s">
        <v>17</v>
      </c>
      <c r="M167" s="3" t="s">
        <v>55</v>
      </c>
      <c r="N167">
        <f>IF(AND( Table15[[#This Row],[Salary]] &gt;= 80000, OR(Table15[[#This Row],[Last_performance_rating]] = "C", Table15[[#This Row],[Last_performance_rating]] = "PIP")) =  TRUE, 1, 0)</f>
        <v>0</v>
      </c>
    </row>
    <row r="168" spans="1:14" x14ac:dyDescent="0.25">
      <c r="A168" s="2">
        <v>93916</v>
      </c>
      <c r="B168" s="22">
        <v>21046</v>
      </c>
      <c r="C168" s="1" t="s">
        <v>626</v>
      </c>
      <c r="D168" s="1" t="s">
        <v>627</v>
      </c>
      <c r="E168" s="1" t="s">
        <v>33</v>
      </c>
      <c r="F168" s="22">
        <v>36106</v>
      </c>
      <c r="G168" s="1">
        <v>3</v>
      </c>
      <c r="H168" s="1" t="s">
        <v>35</v>
      </c>
      <c r="I168" s="1">
        <v>0</v>
      </c>
      <c r="J168" s="1"/>
      <c r="K168" s="24">
        <v>53040</v>
      </c>
      <c r="L168" s="1" t="s">
        <v>61</v>
      </c>
      <c r="M168" s="3" t="s">
        <v>55</v>
      </c>
      <c r="N168">
        <f>IF(AND( Table15[[#This Row],[Salary]] &gt;= 80000, OR(Table15[[#This Row],[Last_performance_rating]] = "C", Table15[[#This Row],[Last_performance_rating]] = "PIP")) =  TRUE, 1, 0)</f>
        <v>0</v>
      </c>
    </row>
    <row r="169" spans="1:14" x14ac:dyDescent="0.25">
      <c r="A169" s="2">
        <v>10101</v>
      </c>
      <c r="B169" s="22">
        <v>19099</v>
      </c>
      <c r="C169" s="1" t="s">
        <v>630</v>
      </c>
      <c r="D169" s="1" t="s">
        <v>180</v>
      </c>
      <c r="E169" s="1" t="s">
        <v>33</v>
      </c>
      <c r="F169" s="22">
        <v>33966</v>
      </c>
      <c r="G169" s="1">
        <v>9</v>
      </c>
      <c r="H169" s="1" t="s">
        <v>35</v>
      </c>
      <c r="I169" s="1">
        <v>0</v>
      </c>
      <c r="J169" s="1"/>
      <c r="K169" s="24">
        <v>66591</v>
      </c>
      <c r="L169" s="1" t="s">
        <v>40</v>
      </c>
      <c r="M169" s="3" t="s">
        <v>41</v>
      </c>
      <c r="N169">
        <f>IF(AND( Table15[[#This Row],[Salary]] &gt;= 80000, OR(Table15[[#This Row],[Last_performance_rating]] = "C", Table15[[#This Row],[Last_performance_rating]] = "PIP")) =  TRUE, 1, 0)</f>
        <v>0</v>
      </c>
    </row>
    <row r="170" spans="1:14" x14ac:dyDescent="0.25">
      <c r="A170" s="2">
        <v>10102</v>
      </c>
      <c r="B170" s="22">
        <v>21858</v>
      </c>
      <c r="C170" s="1" t="s">
        <v>633</v>
      </c>
      <c r="D170" s="1" t="s">
        <v>634</v>
      </c>
      <c r="E170" s="1" t="s">
        <v>33</v>
      </c>
      <c r="F170" s="22">
        <v>34360</v>
      </c>
      <c r="G170" s="1">
        <v>3</v>
      </c>
      <c r="H170" s="1" t="s">
        <v>29</v>
      </c>
      <c r="I170" s="1">
        <v>1</v>
      </c>
      <c r="J170" s="22">
        <v>37636</v>
      </c>
      <c r="K170" s="24">
        <v>44380</v>
      </c>
      <c r="L170" s="1" t="s">
        <v>24</v>
      </c>
      <c r="M170" s="3" t="s">
        <v>55</v>
      </c>
      <c r="N170">
        <f>IF(AND( Table15[[#This Row],[Salary]] &gt;= 80000, OR(Table15[[#This Row],[Last_performance_rating]] = "C", Table15[[#This Row],[Last_performance_rating]] = "PIP")) =  TRUE, 1, 0)</f>
        <v>0</v>
      </c>
    </row>
    <row r="171" spans="1:14" x14ac:dyDescent="0.25">
      <c r="A171" s="2">
        <v>430653</v>
      </c>
      <c r="B171" s="22">
        <v>22153</v>
      </c>
      <c r="C171" s="1" t="s">
        <v>638</v>
      </c>
      <c r="D171" s="1" t="s">
        <v>639</v>
      </c>
      <c r="E171" s="1" t="s">
        <v>33</v>
      </c>
      <c r="F171" s="22">
        <v>32781</v>
      </c>
      <c r="G171" s="1">
        <v>4</v>
      </c>
      <c r="H171" s="1" t="s">
        <v>29</v>
      </c>
      <c r="I171" s="1">
        <v>0</v>
      </c>
      <c r="J171" s="1"/>
      <c r="K171" s="24">
        <v>69077</v>
      </c>
      <c r="L171" s="1" t="s">
        <v>17</v>
      </c>
      <c r="M171" s="3" t="s">
        <v>18</v>
      </c>
      <c r="N171">
        <f>IF(AND( Table15[[#This Row],[Salary]] &gt;= 80000, OR(Table15[[#This Row],[Last_performance_rating]] = "C", Table15[[#This Row],[Last_performance_rating]] = "PIP")) =  TRUE, 1, 0)</f>
        <v>0</v>
      </c>
    </row>
    <row r="172" spans="1:14" x14ac:dyDescent="0.25">
      <c r="A172" s="2">
        <v>10103</v>
      </c>
      <c r="B172" s="22">
        <v>19689</v>
      </c>
      <c r="C172" s="1" t="s">
        <v>642</v>
      </c>
      <c r="D172" s="1" t="s">
        <v>643</v>
      </c>
      <c r="E172" s="1" t="s">
        <v>13</v>
      </c>
      <c r="F172" s="22">
        <v>31748</v>
      </c>
      <c r="G172" s="1">
        <v>5</v>
      </c>
      <c r="H172" s="1" t="s">
        <v>35</v>
      </c>
      <c r="I172" s="1">
        <v>0</v>
      </c>
      <c r="J172" s="1"/>
      <c r="K172" s="24">
        <v>68158</v>
      </c>
      <c r="L172" s="1" t="s">
        <v>17</v>
      </c>
      <c r="M172" s="3" t="s">
        <v>55</v>
      </c>
      <c r="N172">
        <f>IF(AND( Table15[[#This Row],[Salary]] &gt;= 80000, OR(Table15[[#This Row],[Last_performance_rating]] = "C", Table15[[#This Row],[Last_performance_rating]] = "PIP")) =  TRUE, 1, 0)</f>
        <v>0</v>
      </c>
    </row>
    <row r="173" spans="1:14" x14ac:dyDescent="0.25">
      <c r="A173" s="2">
        <v>10104</v>
      </c>
      <c r="B173" s="22">
        <v>22604</v>
      </c>
      <c r="C173" s="1" t="s">
        <v>646</v>
      </c>
      <c r="D173" s="1" t="s">
        <v>145</v>
      </c>
      <c r="E173" s="1" t="s">
        <v>13</v>
      </c>
      <c r="F173" s="22">
        <v>31883</v>
      </c>
      <c r="G173" s="1">
        <v>5</v>
      </c>
      <c r="H173" s="1" t="s">
        <v>35</v>
      </c>
      <c r="I173" s="1">
        <v>0</v>
      </c>
      <c r="J173" s="1"/>
      <c r="K173" s="24">
        <v>45312</v>
      </c>
      <c r="L173" s="1" t="s">
        <v>61</v>
      </c>
      <c r="M173" s="3" t="s">
        <v>102</v>
      </c>
      <c r="N173">
        <f>IF(AND( Table15[[#This Row],[Salary]] &gt;= 80000, OR(Table15[[#This Row],[Last_performance_rating]] = "C", Table15[[#This Row],[Last_performance_rating]] = "PIP")) =  TRUE, 1, 0)</f>
        <v>0</v>
      </c>
    </row>
    <row r="174" spans="1:14" x14ac:dyDescent="0.25">
      <c r="A174" s="2">
        <v>293744</v>
      </c>
      <c r="B174" s="22">
        <v>19113</v>
      </c>
      <c r="C174" s="1" t="s">
        <v>649</v>
      </c>
      <c r="D174" s="1" t="s">
        <v>650</v>
      </c>
      <c r="E174" s="1" t="s">
        <v>13</v>
      </c>
      <c r="F174" s="22">
        <v>31958</v>
      </c>
      <c r="G174" s="1">
        <v>2</v>
      </c>
      <c r="H174" s="1" t="s">
        <v>35</v>
      </c>
      <c r="I174" s="1">
        <v>0</v>
      </c>
      <c r="J174" s="1"/>
      <c r="K174" s="24">
        <v>40000</v>
      </c>
      <c r="L174" s="1" t="s">
        <v>108</v>
      </c>
      <c r="M174" s="3" t="s">
        <v>41</v>
      </c>
      <c r="N174">
        <f>IF(AND( Table15[[#This Row],[Salary]] &gt;= 80000, OR(Table15[[#This Row],[Last_performance_rating]] = "C", Table15[[#This Row],[Last_performance_rating]] = "PIP")) =  TRUE, 1, 0)</f>
        <v>0</v>
      </c>
    </row>
    <row r="175" spans="1:14" x14ac:dyDescent="0.25">
      <c r="A175" s="2">
        <v>293744</v>
      </c>
      <c r="B175" s="22">
        <v>19113</v>
      </c>
      <c r="C175" s="1" t="s">
        <v>649</v>
      </c>
      <c r="D175" s="1" t="s">
        <v>650</v>
      </c>
      <c r="E175" s="1" t="s">
        <v>13</v>
      </c>
      <c r="F175" s="22">
        <v>31958</v>
      </c>
      <c r="G175" s="1">
        <v>2</v>
      </c>
      <c r="H175" s="1" t="s">
        <v>35</v>
      </c>
      <c r="I175" s="1">
        <v>0</v>
      </c>
      <c r="J175" s="1"/>
      <c r="K175" s="24">
        <v>40000</v>
      </c>
      <c r="L175" s="1" t="s">
        <v>46</v>
      </c>
      <c r="M175" s="3" t="s">
        <v>41</v>
      </c>
      <c r="N175">
        <f>IF(AND( Table15[[#This Row],[Salary]] &gt;= 80000, OR(Table15[[#This Row],[Last_performance_rating]] = "C", Table15[[#This Row],[Last_performance_rating]] = "PIP")) =  TRUE, 1, 0)</f>
        <v>0</v>
      </c>
    </row>
    <row r="176" spans="1:14" x14ac:dyDescent="0.25">
      <c r="A176" s="2">
        <v>10105</v>
      </c>
      <c r="B176" s="22">
        <v>22682</v>
      </c>
      <c r="C176" s="1" t="s">
        <v>459</v>
      </c>
      <c r="D176" s="1" t="s">
        <v>78</v>
      </c>
      <c r="E176" s="1" t="s">
        <v>13</v>
      </c>
      <c r="F176" s="22">
        <v>36242</v>
      </c>
      <c r="G176" s="1">
        <v>2</v>
      </c>
      <c r="H176" s="1" t="s">
        <v>15</v>
      </c>
      <c r="I176" s="1">
        <v>0</v>
      </c>
      <c r="J176" s="1"/>
      <c r="K176" s="24">
        <v>59258</v>
      </c>
      <c r="L176" s="1" t="s">
        <v>46</v>
      </c>
      <c r="M176" s="3" t="s">
        <v>41</v>
      </c>
      <c r="N176">
        <f>IF(AND( Table15[[#This Row],[Salary]] &gt;= 80000, OR(Table15[[#This Row],[Last_performance_rating]] = "C", Table15[[#This Row],[Last_performance_rating]] = "PIP")) =  TRUE, 1, 0)</f>
        <v>0</v>
      </c>
    </row>
    <row r="177" spans="1:14" x14ac:dyDescent="0.25">
      <c r="A177" s="2">
        <v>10106</v>
      </c>
      <c r="B177" s="22">
        <v>19235</v>
      </c>
      <c r="C177" s="1" t="s">
        <v>655</v>
      </c>
      <c r="D177" s="1" t="s">
        <v>656</v>
      </c>
      <c r="E177" s="1" t="s">
        <v>13</v>
      </c>
      <c r="F177" s="22">
        <v>33226</v>
      </c>
      <c r="G177" s="1">
        <v>4</v>
      </c>
      <c r="H177" s="1" t="s">
        <v>15</v>
      </c>
      <c r="I177" s="1">
        <v>0</v>
      </c>
      <c r="J177" s="1"/>
      <c r="K177" s="24">
        <v>62928</v>
      </c>
      <c r="L177" s="1" t="s">
        <v>24</v>
      </c>
      <c r="M177" s="3" t="s">
        <v>18</v>
      </c>
      <c r="N177">
        <f>IF(AND( Table15[[#This Row],[Salary]] &gt;= 80000, OR(Table15[[#This Row],[Last_performance_rating]] = "C", Table15[[#This Row],[Last_performance_rating]] = "PIP")) =  TRUE, 1, 0)</f>
        <v>0</v>
      </c>
    </row>
    <row r="178" spans="1:14" x14ac:dyDescent="0.25">
      <c r="A178" s="2">
        <v>222134</v>
      </c>
      <c r="B178" s="22">
        <v>22715</v>
      </c>
      <c r="C178" s="1" t="s">
        <v>659</v>
      </c>
      <c r="D178" s="1" t="s">
        <v>660</v>
      </c>
      <c r="E178" s="1" t="s">
        <v>13</v>
      </c>
      <c r="F178" s="22">
        <v>31456</v>
      </c>
      <c r="G178" s="1">
        <v>3</v>
      </c>
      <c r="H178" s="1" t="s">
        <v>29</v>
      </c>
      <c r="I178" s="1">
        <v>0</v>
      </c>
      <c r="J178" s="1"/>
      <c r="K178" s="24">
        <v>48391</v>
      </c>
      <c r="L178" s="1" t="s">
        <v>17</v>
      </c>
      <c r="M178" s="3" t="s">
        <v>18</v>
      </c>
      <c r="N178">
        <f>IF(AND( Table15[[#This Row],[Salary]] &gt;= 80000, OR(Table15[[#This Row],[Last_performance_rating]] = "C", Table15[[#This Row],[Last_performance_rating]] = "PIP")) =  TRUE, 1, 0)</f>
        <v>0</v>
      </c>
    </row>
    <row r="179" spans="1:14" x14ac:dyDescent="0.25">
      <c r="A179" s="2">
        <v>10107</v>
      </c>
      <c r="B179" s="22">
        <v>20619</v>
      </c>
      <c r="C179" s="1" t="s">
        <v>663</v>
      </c>
      <c r="D179" s="1" t="s">
        <v>664</v>
      </c>
      <c r="E179" s="1" t="s">
        <v>33</v>
      </c>
      <c r="F179" s="22">
        <v>34415</v>
      </c>
      <c r="G179" s="1">
        <v>7</v>
      </c>
      <c r="H179" s="1" t="s">
        <v>370</v>
      </c>
      <c r="I179" s="1">
        <v>0</v>
      </c>
      <c r="J179" s="1"/>
      <c r="K179" s="24">
        <v>93159</v>
      </c>
      <c r="L179" s="1" t="s">
        <v>40</v>
      </c>
      <c r="M179" s="3" t="s">
        <v>102</v>
      </c>
      <c r="N179">
        <f>IF(AND( Table15[[#This Row],[Salary]] &gt;= 80000, OR(Table15[[#This Row],[Last_performance_rating]] = "C", Table15[[#This Row],[Last_performance_rating]] = "PIP")) =  TRUE, 1, 0)</f>
        <v>0</v>
      </c>
    </row>
    <row r="180" spans="1:14" x14ac:dyDescent="0.25">
      <c r="A180" s="2">
        <v>10108</v>
      </c>
      <c r="B180" s="22">
        <v>19091</v>
      </c>
      <c r="C180" s="1" t="s">
        <v>667</v>
      </c>
      <c r="D180" s="1" t="s">
        <v>668</v>
      </c>
      <c r="E180" s="1" t="s">
        <v>13</v>
      </c>
      <c r="F180" s="22">
        <v>31687</v>
      </c>
      <c r="G180" s="1">
        <v>2</v>
      </c>
      <c r="H180" s="1" t="s">
        <v>29</v>
      </c>
      <c r="I180" s="1">
        <v>0</v>
      </c>
      <c r="J180" s="1"/>
      <c r="K180" s="24">
        <v>40000</v>
      </c>
      <c r="L180" s="1" t="s">
        <v>125</v>
      </c>
      <c r="M180" s="3" t="s">
        <v>41</v>
      </c>
      <c r="N180">
        <f>IF(AND( Table15[[#This Row],[Salary]] &gt;= 80000, OR(Table15[[#This Row],[Last_performance_rating]] = "C", Table15[[#This Row],[Last_performance_rating]] = "PIP")) =  TRUE, 1, 0)</f>
        <v>0</v>
      </c>
    </row>
    <row r="181" spans="1:14" x14ac:dyDescent="0.25">
      <c r="A181" s="2">
        <v>10108</v>
      </c>
      <c r="B181" s="22">
        <v>19091</v>
      </c>
      <c r="C181" s="1" t="s">
        <v>667</v>
      </c>
      <c r="D181" s="1" t="s">
        <v>668</v>
      </c>
      <c r="E181" s="1" t="s">
        <v>13</v>
      </c>
      <c r="F181" s="22">
        <v>31687</v>
      </c>
      <c r="G181" s="1">
        <v>2</v>
      </c>
      <c r="H181" s="1" t="s">
        <v>29</v>
      </c>
      <c r="I181" s="1">
        <v>0</v>
      </c>
      <c r="J181" s="1"/>
      <c r="K181" s="24">
        <v>40000</v>
      </c>
      <c r="L181" s="1" t="s">
        <v>46</v>
      </c>
      <c r="M181" s="3" t="s">
        <v>41</v>
      </c>
      <c r="N181">
        <f>IF(AND( Table15[[#This Row],[Salary]] &gt;= 80000, OR(Table15[[#This Row],[Last_performance_rating]] = "C", Table15[[#This Row],[Last_performance_rating]] = "PIP")) =  TRUE, 1, 0)</f>
        <v>0</v>
      </c>
    </row>
    <row r="182" spans="1:14" x14ac:dyDescent="0.25">
      <c r="A182" s="2">
        <v>465348</v>
      </c>
      <c r="B182" s="22">
        <v>21376</v>
      </c>
      <c r="C182" s="1" t="s">
        <v>671</v>
      </c>
      <c r="D182" s="1" t="s">
        <v>672</v>
      </c>
      <c r="E182" s="1" t="s">
        <v>13</v>
      </c>
      <c r="F182" s="22">
        <v>33643</v>
      </c>
      <c r="G182" s="1">
        <v>3</v>
      </c>
      <c r="H182" s="1" t="s">
        <v>35</v>
      </c>
      <c r="I182" s="1">
        <v>0</v>
      </c>
      <c r="J182" s="1"/>
      <c r="K182" s="24">
        <v>40000</v>
      </c>
      <c r="L182" s="1" t="s">
        <v>17</v>
      </c>
      <c r="M182" s="3" t="s">
        <v>55</v>
      </c>
      <c r="N182">
        <f>IF(AND( Table15[[#This Row],[Salary]] &gt;= 80000, OR(Table15[[#This Row],[Last_performance_rating]] = "C", Table15[[#This Row],[Last_performance_rating]] = "PIP")) =  TRUE, 1, 0)</f>
        <v>0</v>
      </c>
    </row>
    <row r="183" spans="1:14" x14ac:dyDescent="0.25">
      <c r="A183" s="2">
        <v>10109</v>
      </c>
      <c r="B183" s="22">
        <v>21514</v>
      </c>
      <c r="C183" s="1" t="s">
        <v>674</v>
      </c>
      <c r="D183" s="1" t="s">
        <v>675</v>
      </c>
      <c r="E183" s="1" t="s">
        <v>33</v>
      </c>
      <c r="F183" s="22">
        <v>34136</v>
      </c>
      <c r="G183" s="1">
        <v>7</v>
      </c>
      <c r="H183" s="1" t="s">
        <v>29</v>
      </c>
      <c r="I183" s="1">
        <v>0</v>
      </c>
      <c r="J183" s="1"/>
      <c r="K183" s="24">
        <v>40000</v>
      </c>
      <c r="L183" s="1" t="s">
        <v>24</v>
      </c>
      <c r="M183" s="3" t="s">
        <v>18</v>
      </c>
      <c r="N183">
        <f>IF(AND( Table15[[#This Row],[Salary]] &gt;= 80000, OR(Table15[[#This Row],[Last_performance_rating]] = "C", Table15[[#This Row],[Last_performance_rating]] = "PIP")) =  TRUE, 1, 0)</f>
        <v>0</v>
      </c>
    </row>
    <row r="184" spans="1:14" x14ac:dyDescent="0.25">
      <c r="A184" s="2">
        <v>92149</v>
      </c>
      <c r="B184" s="22">
        <v>20898</v>
      </c>
      <c r="C184" s="1" t="s">
        <v>678</v>
      </c>
      <c r="D184" s="1" t="s">
        <v>679</v>
      </c>
      <c r="E184" s="1" t="s">
        <v>33</v>
      </c>
      <c r="F184" s="22">
        <v>32400</v>
      </c>
      <c r="G184" s="1">
        <v>4</v>
      </c>
      <c r="H184" s="1" t="s">
        <v>35</v>
      </c>
      <c r="I184" s="1">
        <v>0</v>
      </c>
      <c r="J184" s="1"/>
      <c r="K184" s="24">
        <v>69585</v>
      </c>
      <c r="L184" s="1" t="s">
        <v>108</v>
      </c>
      <c r="M184" s="3" t="s">
        <v>41</v>
      </c>
      <c r="N184">
        <f>IF(AND( Table15[[#This Row],[Salary]] &gt;= 80000, OR(Table15[[#This Row],[Last_performance_rating]] = "C", Table15[[#This Row],[Last_performance_rating]] = "PIP")) =  TRUE, 1, 0)</f>
        <v>0</v>
      </c>
    </row>
    <row r="185" spans="1:14" x14ac:dyDescent="0.25">
      <c r="A185" s="2">
        <v>10110</v>
      </c>
      <c r="B185" s="22">
        <v>20886</v>
      </c>
      <c r="C185" s="1" t="s">
        <v>682</v>
      </c>
      <c r="D185" s="1" t="s">
        <v>683</v>
      </c>
      <c r="E185" s="1" t="s">
        <v>33</v>
      </c>
      <c r="F185" s="22">
        <v>31646</v>
      </c>
      <c r="G185" s="1">
        <v>9</v>
      </c>
      <c r="H185" s="1" t="s">
        <v>29</v>
      </c>
      <c r="I185" s="1">
        <v>0</v>
      </c>
      <c r="J185" s="1"/>
      <c r="K185" s="24">
        <v>46836</v>
      </c>
      <c r="L185" s="1" t="s">
        <v>46</v>
      </c>
      <c r="M185" s="3" t="s">
        <v>41</v>
      </c>
      <c r="N185">
        <f>IF(AND( Table15[[#This Row],[Salary]] &gt;= 80000, OR(Table15[[#This Row],[Last_performance_rating]] = "C", Table15[[#This Row],[Last_performance_rating]] = "PIP")) =  TRUE, 1, 0)</f>
        <v>0</v>
      </c>
    </row>
    <row r="186" spans="1:14" x14ac:dyDescent="0.25">
      <c r="A186" s="2">
        <v>10111</v>
      </c>
      <c r="B186" s="22">
        <v>23252</v>
      </c>
      <c r="C186" s="1" t="s">
        <v>686</v>
      </c>
      <c r="D186" s="1" t="s">
        <v>687</v>
      </c>
      <c r="E186" s="1" t="s">
        <v>33</v>
      </c>
      <c r="F186" s="22">
        <v>32313</v>
      </c>
      <c r="G186" s="1">
        <v>6</v>
      </c>
      <c r="H186" s="1" t="s">
        <v>29</v>
      </c>
      <c r="I186" s="1">
        <v>0</v>
      </c>
      <c r="J186" s="1"/>
      <c r="K186" s="24">
        <v>40000</v>
      </c>
      <c r="L186" s="1" t="s">
        <v>71</v>
      </c>
      <c r="M186" s="3" t="s">
        <v>18</v>
      </c>
      <c r="N186">
        <f>IF(AND( Table15[[#This Row],[Salary]] &gt;= 80000, OR(Table15[[#This Row],[Last_performance_rating]] = "C", Table15[[#This Row],[Last_performance_rating]] = "PIP")) =  TRUE, 1, 0)</f>
        <v>0</v>
      </c>
    </row>
    <row r="187" spans="1:14" x14ac:dyDescent="0.25">
      <c r="A187" s="2">
        <v>406318</v>
      </c>
      <c r="B187" s="22">
        <v>19270</v>
      </c>
      <c r="C187" s="1" t="s">
        <v>690</v>
      </c>
      <c r="D187" s="1" t="s">
        <v>691</v>
      </c>
      <c r="E187" s="1" t="s">
        <v>13</v>
      </c>
      <c r="F187" s="22">
        <v>32103</v>
      </c>
      <c r="G187" s="1">
        <v>9</v>
      </c>
      <c r="H187" s="1" t="s">
        <v>29</v>
      </c>
      <c r="I187" s="1">
        <v>0</v>
      </c>
      <c r="J187" s="1"/>
      <c r="K187" s="24">
        <v>55145</v>
      </c>
      <c r="L187" s="1" t="s">
        <v>17</v>
      </c>
      <c r="M187" s="3" t="s">
        <v>18</v>
      </c>
      <c r="N187">
        <f>IF(AND( Table15[[#This Row],[Salary]] &gt;= 80000, OR(Table15[[#This Row],[Last_performance_rating]] = "C", Table15[[#This Row],[Last_performance_rating]] = "PIP")) =  TRUE, 1, 0)</f>
        <v>0</v>
      </c>
    </row>
    <row r="188" spans="1:14" x14ac:dyDescent="0.25">
      <c r="A188" s="2">
        <v>10112</v>
      </c>
      <c r="B188" s="22">
        <v>23236</v>
      </c>
      <c r="C188" s="1" t="s">
        <v>694</v>
      </c>
      <c r="D188" s="1" t="s">
        <v>695</v>
      </c>
      <c r="E188" s="1" t="s">
        <v>33</v>
      </c>
      <c r="F188" s="22">
        <v>31328</v>
      </c>
      <c r="G188" s="1">
        <v>2</v>
      </c>
      <c r="H188" s="1" t="s">
        <v>15</v>
      </c>
      <c r="I188" s="1">
        <v>0</v>
      </c>
      <c r="J188" s="1"/>
      <c r="K188" s="24">
        <v>49500</v>
      </c>
      <c r="L188" s="1" t="s">
        <v>89</v>
      </c>
      <c r="M188" s="3" t="s">
        <v>41</v>
      </c>
      <c r="N188">
        <f>IF(AND( Table15[[#This Row],[Salary]] &gt;= 80000, OR(Table15[[#This Row],[Last_performance_rating]] = "C", Table15[[#This Row],[Last_performance_rating]] = "PIP")) =  TRUE, 1, 0)</f>
        <v>0</v>
      </c>
    </row>
    <row r="189" spans="1:14" x14ac:dyDescent="0.25">
      <c r="A189" s="2">
        <v>10113</v>
      </c>
      <c r="B189" s="22">
        <v>23328</v>
      </c>
      <c r="C189" s="1" t="s">
        <v>698</v>
      </c>
      <c r="D189" s="1" t="s">
        <v>555</v>
      </c>
      <c r="E189" s="1" t="s">
        <v>13</v>
      </c>
      <c r="F189" s="22">
        <v>32866</v>
      </c>
      <c r="G189" s="1">
        <v>10</v>
      </c>
      <c r="H189" s="1" t="s">
        <v>29</v>
      </c>
      <c r="I189" s="1">
        <v>0</v>
      </c>
      <c r="J189" s="1"/>
      <c r="K189" s="24">
        <v>69856</v>
      </c>
      <c r="L189" s="1" t="s">
        <v>24</v>
      </c>
      <c r="M189" s="3" t="s">
        <v>55</v>
      </c>
      <c r="N189">
        <f>IF(AND( Table15[[#This Row],[Salary]] &gt;= 80000, OR(Table15[[#This Row],[Last_performance_rating]] = "C", Table15[[#This Row],[Last_performance_rating]] = "PIP")) =  TRUE, 1, 0)</f>
        <v>0</v>
      </c>
    </row>
    <row r="190" spans="1:14" x14ac:dyDescent="0.25">
      <c r="A190" s="2">
        <v>259126</v>
      </c>
      <c r="B190" s="22">
        <v>19545</v>
      </c>
      <c r="C190" s="1" t="s">
        <v>701</v>
      </c>
      <c r="D190" s="1" t="s">
        <v>702</v>
      </c>
      <c r="E190" s="1" t="s">
        <v>13</v>
      </c>
      <c r="F190" s="22">
        <v>31626</v>
      </c>
      <c r="G190" s="1">
        <v>2</v>
      </c>
      <c r="H190" s="1" t="s">
        <v>15</v>
      </c>
      <c r="I190" s="1">
        <v>0</v>
      </c>
      <c r="J190" s="1"/>
      <c r="K190" s="24">
        <v>70329</v>
      </c>
      <c r="L190" s="1" t="s">
        <v>125</v>
      </c>
      <c r="M190" s="3" t="s">
        <v>41</v>
      </c>
      <c r="N190">
        <f>IF(AND( Table15[[#This Row],[Salary]] &gt;= 80000, OR(Table15[[#This Row],[Last_performance_rating]] = "C", Table15[[#This Row],[Last_performance_rating]] = "PIP")) =  TRUE, 1, 0)</f>
        <v>0</v>
      </c>
    </row>
    <row r="191" spans="1:14" x14ac:dyDescent="0.25">
      <c r="A191" s="2">
        <v>10114</v>
      </c>
      <c r="B191" s="22">
        <v>20867</v>
      </c>
      <c r="C191" s="1" t="s">
        <v>705</v>
      </c>
      <c r="D191" s="1" t="s">
        <v>211</v>
      </c>
      <c r="E191" s="1" t="s">
        <v>33</v>
      </c>
      <c r="F191" s="22">
        <v>33802</v>
      </c>
      <c r="G191" s="1">
        <v>6</v>
      </c>
      <c r="H191" s="1" t="s">
        <v>138</v>
      </c>
      <c r="I191" s="1">
        <v>0</v>
      </c>
      <c r="J191" s="1"/>
      <c r="K191" s="24">
        <v>49593</v>
      </c>
      <c r="L191" s="1" t="s">
        <v>61</v>
      </c>
      <c r="M191" s="3" t="s">
        <v>41</v>
      </c>
      <c r="N191">
        <f>IF(AND( Table15[[#This Row],[Salary]] &gt;= 80000, OR(Table15[[#This Row],[Last_performance_rating]] = "C", Table15[[#This Row],[Last_performance_rating]] = "PIP")) =  TRUE, 1, 0)</f>
        <v>0</v>
      </c>
    </row>
    <row r="192" spans="1:14" x14ac:dyDescent="0.25">
      <c r="A192" s="2">
        <v>10115</v>
      </c>
      <c r="B192" s="22">
        <v>23736</v>
      </c>
      <c r="C192" s="1" t="s">
        <v>708</v>
      </c>
      <c r="D192" s="1" t="s">
        <v>709</v>
      </c>
      <c r="E192" s="1" t="s">
        <v>13</v>
      </c>
      <c r="F192" s="22">
        <v>31435</v>
      </c>
      <c r="G192" s="1">
        <v>1</v>
      </c>
      <c r="H192" s="1" t="s">
        <v>29</v>
      </c>
      <c r="I192" s="1">
        <v>0</v>
      </c>
      <c r="J192" s="1"/>
      <c r="K192" s="24">
        <v>40000</v>
      </c>
      <c r="L192" s="1" t="s">
        <v>89</v>
      </c>
      <c r="M192" s="3" t="s">
        <v>41</v>
      </c>
      <c r="N192">
        <f>IF(AND( Table15[[#This Row],[Salary]] &gt;= 80000, OR(Table15[[#This Row],[Last_performance_rating]] = "C", Table15[[#This Row],[Last_performance_rating]] = "PIP")) =  TRUE, 1, 0)</f>
        <v>0</v>
      </c>
    </row>
    <row r="193" spans="1:14" x14ac:dyDescent="0.25">
      <c r="A193" s="2">
        <v>42625</v>
      </c>
      <c r="B193" s="22">
        <v>21166</v>
      </c>
      <c r="C193" s="1" t="s">
        <v>712</v>
      </c>
      <c r="D193" s="1" t="s">
        <v>695</v>
      </c>
      <c r="E193" s="1" t="s">
        <v>33</v>
      </c>
      <c r="F193" s="22">
        <v>31560</v>
      </c>
      <c r="G193" s="1">
        <v>1</v>
      </c>
      <c r="H193" s="1" t="s">
        <v>29</v>
      </c>
      <c r="I193" s="1">
        <v>0</v>
      </c>
      <c r="J193" s="1"/>
      <c r="K193" s="24">
        <v>55095</v>
      </c>
      <c r="L193" s="1" t="s">
        <v>40</v>
      </c>
      <c r="M193" s="3" t="s">
        <v>41</v>
      </c>
      <c r="N193">
        <f>IF(AND( Table15[[#This Row],[Salary]] &gt;= 80000, OR(Table15[[#This Row],[Last_performance_rating]] = "C", Table15[[#This Row],[Last_performance_rating]] = "PIP")) =  TRUE, 1, 0)</f>
        <v>0</v>
      </c>
    </row>
    <row r="194" spans="1:14" x14ac:dyDescent="0.25">
      <c r="A194" s="2">
        <v>10116</v>
      </c>
      <c r="B194" s="22">
        <v>20327</v>
      </c>
      <c r="C194" s="1" t="s">
        <v>715</v>
      </c>
      <c r="D194" s="1" t="s">
        <v>716</v>
      </c>
      <c r="E194" s="1" t="s">
        <v>33</v>
      </c>
      <c r="F194" s="22">
        <v>31195</v>
      </c>
      <c r="G194" s="1">
        <v>3</v>
      </c>
      <c r="H194" s="1" t="s">
        <v>29</v>
      </c>
      <c r="I194" s="1">
        <v>0</v>
      </c>
      <c r="J194" s="1"/>
      <c r="K194" s="24">
        <v>44034</v>
      </c>
      <c r="L194" s="1" t="s">
        <v>17</v>
      </c>
      <c r="M194" s="3" t="s">
        <v>18</v>
      </c>
      <c r="N194">
        <f>IF(AND( Table15[[#This Row],[Salary]] &gt;= 80000, OR(Table15[[#This Row],[Last_performance_rating]] = "C", Table15[[#This Row],[Last_performance_rating]] = "PIP")) =  TRUE, 1, 0)</f>
        <v>0</v>
      </c>
    </row>
    <row r="195" spans="1:14" x14ac:dyDescent="0.25">
      <c r="A195" s="2">
        <v>10116</v>
      </c>
      <c r="B195" s="22">
        <v>20327</v>
      </c>
      <c r="C195" s="1" t="s">
        <v>715</v>
      </c>
      <c r="D195" s="1" t="s">
        <v>716</v>
      </c>
      <c r="E195" s="1" t="s">
        <v>33</v>
      </c>
      <c r="F195" s="22">
        <v>31195</v>
      </c>
      <c r="G195" s="1">
        <v>3</v>
      </c>
      <c r="H195" s="1" t="s">
        <v>29</v>
      </c>
      <c r="I195" s="1">
        <v>0</v>
      </c>
      <c r="J195" s="1"/>
      <c r="K195" s="24">
        <v>44034</v>
      </c>
      <c r="L195" s="1" t="s">
        <v>61</v>
      </c>
      <c r="M195" s="3" t="s">
        <v>18</v>
      </c>
      <c r="N195">
        <f>IF(AND( Table15[[#This Row],[Salary]] &gt;= 80000, OR(Table15[[#This Row],[Last_performance_rating]] = "C", Table15[[#This Row],[Last_performance_rating]] = "PIP")) =  TRUE, 1, 0)</f>
        <v>0</v>
      </c>
    </row>
    <row r="196" spans="1:14" x14ac:dyDescent="0.25">
      <c r="A196" s="2">
        <v>85093</v>
      </c>
      <c r="B196" s="22">
        <v>21580</v>
      </c>
      <c r="C196" s="1" t="s">
        <v>719</v>
      </c>
      <c r="D196" s="1" t="s">
        <v>720</v>
      </c>
      <c r="E196" s="1" t="s">
        <v>13</v>
      </c>
      <c r="F196" s="22">
        <v>32987</v>
      </c>
      <c r="G196" s="1">
        <v>6</v>
      </c>
      <c r="H196" s="1" t="s">
        <v>29</v>
      </c>
      <c r="I196" s="1">
        <v>0</v>
      </c>
      <c r="J196" s="1"/>
      <c r="K196" s="24">
        <v>97816</v>
      </c>
      <c r="L196" s="1" t="s">
        <v>40</v>
      </c>
      <c r="M196" s="3" t="s">
        <v>102</v>
      </c>
      <c r="N196">
        <f>IF(AND( Table15[[#This Row],[Salary]] &gt;= 80000, OR(Table15[[#This Row],[Last_performance_rating]] = "C", Table15[[#This Row],[Last_performance_rating]] = "PIP")) =  TRUE, 1, 0)</f>
        <v>0</v>
      </c>
    </row>
    <row r="197" spans="1:14" x14ac:dyDescent="0.25">
      <c r="A197" s="2">
        <v>10117</v>
      </c>
      <c r="B197" s="22">
        <v>22578</v>
      </c>
      <c r="C197" s="1" t="s">
        <v>723</v>
      </c>
      <c r="D197" s="1" t="s">
        <v>724</v>
      </c>
      <c r="E197" s="1" t="s">
        <v>33</v>
      </c>
      <c r="F197" s="22">
        <v>33021</v>
      </c>
      <c r="G197" s="1">
        <v>6</v>
      </c>
      <c r="H197" s="1" t="s">
        <v>29</v>
      </c>
      <c r="I197" s="1">
        <v>0</v>
      </c>
      <c r="J197" s="1"/>
      <c r="K197" s="24">
        <v>52284</v>
      </c>
      <c r="L197" s="1" t="s">
        <v>24</v>
      </c>
      <c r="M197" s="3" t="s">
        <v>18</v>
      </c>
      <c r="N197">
        <f>IF(AND( Table15[[#This Row],[Salary]] &gt;= 80000, OR(Table15[[#This Row],[Last_performance_rating]] = "C", Table15[[#This Row],[Last_performance_rating]] = "PIP")) =  TRUE, 1, 0)</f>
        <v>0</v>
      </c>
    </row>
    <row r="198" spans="1:14" x14ac:dyDescent="0.25">
      <c r="A198" s="2">
        <v>10118</v>
      </c>
      <c r="B198" s="22">
        <v>20908</v>
      </c>
      <c r="C198" s="1" t="s">
        <v>599</v>
      </c>
      <c r="D198" s="1" t="s">
        <v>727</v>
      </c>
      <c r="E198" s="1" t="s">
        <v>33</v>
      </c>
      <c r="F198" s="22">
        <v>33129</v>
      </c>
      <c r="G198" s="1">
        <v>6</v>
      </c>
      <c r="H198" s="1" t="s">
        <v>35</v>
      </c>
      <c r="I198" s="1">
        <v>0</v>
      </c>
      <c r="J198" s="1"/>
      <c r="K198" s="24">
        <v>40000</v>
      </c>
      <c r="L198" s="1" t="s">
        <v>17</v>
      </c>
      <c r="M198" s="3" t="s">
        <v>18</v>
      </c>
      <c r="N198">
        <f>IF(AND( Table15[[#This Row],[Salary]] &gt;= 80000, OR(Table15[[#This Row],[Last_performance_rating]] = "C", Table15[[#This Row],[Last_performance_rating]] = "PIP")) =  TRUE, 1, 0)</f>
        <v>0</v>
      </c>
    </row>
    <row r="199" spans="1:14" x14ac:dyDescent="0.25">
      <c r="A199" s="2">
        <v>281320</v>
      </c>
      <c r="B199" s="22">
        <v>22264</v>
      </c>
      <c r="C199" s="1" t="s">
        <v>615</v>
      </c>
      <c r="D199" s="1" t="s">
        <v>730</v>
      </c>
      <c r="E199" s="1" t="s">
        <v>33</v>
      </c>
      <c r="F199" s="22">
        <v>34740</v>
      </c>
      <c r="G199" s="1">
        <v>2</v>
      </c>
      <c r="H199" s="1" t="s">
        <v>15</v>
      </c>
      <c r="I199" s="1">
        <v>1</v>
      </c>
      <c r="J199" s="22">
        <v>35478</v>
      </c>
      <c r="K199" s="24">
        <v>41600</v>
      </c>
      <c r="L199" s="1" t="s">
        <v>17</v>
      </c>
      <c r="M199" s="3" t="s">
        <v>18</v>
      </c>
      <c r="N199">
        <f>IF(AND( Table15[[#This Row],[Salary]] &gt;= 80000, OR(Table15[[#This Row],[Last_performance_rating]] = "C", Table15[[#This Row],[Last_performance_rating]] = "PIP")) =  TRUE, 1, 0)</f>
        <v>0</v>
      </c>
    </row>
    <row r="200" spans="1:14" x14ac:dyDescent="0.25">
      <c r="A200" s="2">
        <v>10119</v>
      </c>
      <c r="B200" s="22">
        <v>22251</v>
      </c>
      <c r="C200" s="1" t="s">
        <v>194</v>
      </c>
      <c r="D200" s="1" t="s">
        <v>734</v>
      </c>
      <c r="E200" s="1" t="s">
        <v>13</v>
      </c>
      <c r="F200" s="22">
        <v>31485</v>
      </c>
      <c r="G200" s="1">
        <v>9</v>
      </c>
      <c r="H200" s="1" t="s">
        <v>15</v>
      </c>
      <c r="I200" s="1">
        <v>0</v>
      </c>
      <c r="J200" s="1"/>
      <c r="K200" s="24">
        <v>53551</v>
      </c>
      <c r="L200" s="1" t="s">
        <v>24</v>
      </c>
      <c r="M200" s="3" t="s">
        <v>55</v>
      </c>
      <c r="N200">
        <f>IF(AND( Table15[[#This Row],[Salary]] &gt;= 80000, OR(Table15[[#This Row],[Last_performance_rating]] = "C", Table15[[#This Row],[Last_performance_rating]] = "PIP")) =  TRUE, 1, 0)</f>
        <v>0</v>
      </c>
    </row>
    <row r="201" spans="1:14" x14ac:dyDescent="0.25">
      <c r="A201" s="2">
        <v>10120</v>
      </c>
      <c r="B201" s="22">
        <v>22001</v>
      </c>
      <c r="C201" s="1" t="s">
        <v>736</v>
      </c>
      <c r="D201" s="1" t="s">
        <v>737</v>
      </c>
      <c r="E201" s="1" t="s">
        <v>33</v>
      </c>
      <c r="F201" s="22">
        <v>35252</v>
      </c>
      <c r="G201" s="1">
        <v>6</v>
      </c>
      <c r="H201" s="1" t="s">
        <v>29</v>
      </c>
      <c r="I201" s="1">
        <v>0</v>
      </c>
      <c r="J201" s="1"/>
      <c r="K201" s="24">
        <v>46292</v>
      </c>
      <c r="L201" s="1" t="s">
        <v>24</v>
      </c>
      <c r="M201" s="3" t="s">
        <v>55</v>
      </c>
      <c r="N201">
        <f>IF(AND( Table15[[#This Row],[Salary]] &gt;= 80000, OR(Table15[[#This Row],[Last_performance_rating]] = "C", Table15[[#This Row],[Last_performance_rating]] = "PIP")) =  TRUE, 1, 0)</f>
        <v>0</v>
      </c>
    </row>
    <row r="202" spans="1:14" x14ac:dyDescent="0.25">
      <c r="A202" s="2">
        <v>402202</v>
      </c>
      <c r="B202" s="22">
        <v>21837</v>
      </c>
      <c r="C202" s="1" t="s">
        <v>740</v>
      </c>
      <c r="D202" s="1" t="s">
        <v>741</v>
      </c>
      <c r="E202" s="1" t="s">
        <v>13</v>
      </c>
      <c r="F202" s="22">
        <v>34728</v>
      </c>
      <c r="G202" s="1">
        <v>10</v>
      </c>
      <c r="H202" s="1" t="s">
        <v>29</v>
      </c>
      <c r="I202" s="1">
        <v>0</v>
      </c>
      <c r="J202" s="1"/>
      <c r="K202" s="24">
        <v>41006</v>
      </c>
      <c r="L202" s="1" t="s">
        <v>17</v>
      </c>
      <c r="M202" s="3" t="s">
        <v>156</v>
      </c>
      <c r="N202">
        <f>IF(AND( Table15[[#This Row],[Salary]] &gt;= 80000, OR(Table15[[#This Row],[Last_performance_rating]] = "C", Table15[[#This Row],[Last_performance_rating]] = "PIP")) =  TRUE, 1, 0)</f>
        <v>0</v>
      </c>
    </row>
    <row r="203" spans="1:14" x14ac:dyDescent="0.25">
      <c r="A203" s="2">
        <v>10121</v>
      </c>
      <c r="B203" s="22">
        <v>22841</v>
      </c>
      <c r="C203" s="1" t="s">
        <v>114</v>
      </c>
      <c r="D203" s="1" t="s">
        <v>744</v>
      </c>
      <c r="E203" s="1" t="s">
        <v>13</v>
      </c>
      <c r="F203" s="22">
        <v>32631</v>
      </c>
      <c r="G203" s="1">
        <v>10</v>
      </c>
      <c r="H203" s="1" t="s">
        <v>35</v>
      </c>
      <c r="I203" s="1">
        <v>0</v>
      </c>
      <c r="J203" s="1"/>
      <c r="K203" s="24">
        <v>43772</v>
      </c>
      <c r="L203" s="1" t="s">
        <v>17</v>
      </c>
      <c r="M203" s="3" t="s">
        <v>18</v>
      </c>
      <c r="N203">
        <f>IF(AND( Table15[[#This Row],[Salary]] &gt;= 80000, OR(Table15[[#This Row],[Last_performance_rating]] = "C", Table15[[#This Row],[Last_performance_rating]] = "PIP")) =  TRUE, 1, 0)</f>
        <v>0</v>
      </c>
    </row>
    <row r="204" spans="1:14" x14ac:dyDescent="0.25">
      <c r="A204" s="2">
        <v>10122</v>
      </c>
      <c r="B204" s="22">
        <v>23761</v>
      </c>
      <c r="C204" s="1" t="s">
        <v>747</v>
      </c>
      <c r="D204" s="1" t="s">
        <v>748</v>
      </c>
      <c r="E204" s="1" t="s">
        <v>13</v>
      </c>
      <c r="F204" s="22">
        <v>33961</v>
      </c>
      <c r="G204" s="1">
        <v>6</v>
      </c>
      <c r="H204" s="1" t="s">
        <v>29</v>
      </c>
      <c r="I204" s="1">
        <v>0</v>
      </c>
      <c r="J204" s="1"/>
      <c r="K204" s="24">
        <v>42284</v>
      </c>
      <c r="L204" s="1" t="s">
        <v>17</v>
      </c>
      <c r="M204" s="3" t="s">
        <v>156</v>
      </c>
      <c r="N204">
        <f>IF(AND( Table15[[#This Row],[Salary]] &gt;= 80000, OR(Table15[[#This Row],[Last_performance_rating]] = "C", Table15[[#This Row],[Last_performance_rating]] = "PIP")) =  TRUE, 1, 0)</f>
        <v>0</v>
      </c>
    </row>
    <row r="205" spans="1:14" x14ac:dyDescent="0.25">
      <c r="A205" s="2">
        <v>419277</v>
      </c>
      <c r="B205" s="22">
        <v>19642</v>
      </c>
      <c r="C205" s="1" t="s">
        <v>751</v>
      </c>
      <c r="D205" s="1" t="s">
        <v>752</v>
      </c>
      <c r="E205" s="1" t="s">
        <v>13</v>
      </c>
      <c r="F205" s="22">
        <v>31766</v>
      </c>
      <c r="G205" s="1">
        <v>4</v>
      </c>
      <c r="H205" s="1" t="s">
        <v>138</v>
      </c>
      <c r="I205" s="1">
        <v>0</v>
      </c>
      <c r="J205" s="1"/>
      <c r="K205" s="24">
        <v>46833</v>
      </c>
      <c r="L205" s="1" t="s">
        <v>17</v>
      </c>
      <c r="M205" s="3" t="s">
        <v>156</v>
      </c>
      <c r="N205">
        <f>IF(AND( Table15[[#This Row],[Salary]] &gt;= 80000, OR(Table15[[#This Row],[Last_performance_rating]] = "C", Table15[[#This Row],[Last_performance_rating]] = "PIP")) =  TRUE, 1, 0)</f>
        <v>0</v>
      </c>
    </row>
    <row r="206" spans="1:14" x14ac:dyDescent="0.25">
      <c r="A206" s="2">
        <v>10123</v>
      </c>
      <c r="B206" s="22">
        <v>22778</v>
      </c>
      <c r="C206" s="1" t="s">
        <v>755</v>
      </c>
      <c r="D206" s="1" t="s">
        <v>756</v>
      </c>
      <c r="E206" s="1" t="s">
        <v>13</v>
      </c>
      <c r="F206" s="22">
        <v>33984</v>
      </c>
      <c r="G206" s="1">
        <v>1</v>
      </c>
      <c r="H206" s="1" t="s">
        <v>29</v>
      </c>
      <c r="I206" s="1">
        <v>0</v>
      </c>
      <c r="J206" s="1"/>
      <c r="K206" s="24">
        <v>71524</v>
      </c>
      <c r="L206" s="1" t="s">
        <v>24</v>
      </c>
      <c r="M206" s="3" t="s">
        <v>55</v>
      </c>
      <c r="N206">
        <f>IF(AND( Table15[[#This Row],[Salary]] &gt;= 80000, OR(Table15[[#This Row],[Last_performance_rating]] = "C", Table15[[#This Row],[Last_performance_rating]] = "PIP")) =  TRUE, 1, 0)</f>
        <v>0</v>
      </c>
    </row>
    <row r="207" spans="1:14" x14ac:dyDescent="0.25">
      <c r="A207" s="2">
        <v>10124</v>
      </c>
      <c r="B207" s="22">
        <v>22789</v>
      </c>
      <c r="C207" s="1" t="s">
        <v>759</v>
      </c>
      <c r="D207" s="1" t="s">
        <v>760</v>
      </c>
      <c r="E207" s="1" t="s">
        <v>13</v>
      </c>
      <c r="F207" s="22">
        <v>33486</v>
      </c>
      <c r="G207" s="1">
        <v>8</v>
      </c>
      <c r="H207" s="1" t="s">
        <v>15</v>
      </c>
      <c r="I207" s="1">
        <v>0</v>
      </c>
      <c r="J207" s="1"/>
      <c r="K207" s="24">
        <v>40583</v>
      </c>
      <c r="L207" s="1" t="s">
        <v>24</v>
      </c>
      <c r="M207" s="3" t="s">
        <v>18</v>
      </c>
      <c r="N207">
        <f>IF(AND( Table15[[#This Row],[Salary]] &gt;= 80000, OR(Table15[[#This Row],[Last_performance_rating]] = "C", Table15[[#This Row],[Last_performance_rating]] = "PIP")) =  TRUE, 1, 0)</f>
        <v>0</v>
      </c>
    </row>
    <row r="208" spans="1:14" x14ac:dyDescent="0.25">
      <c r="A208" s="2">
        <v>10124</v>
      </c>
      <c r="B208" s="22">
        <v>22789</v>
      </c>
      <c r="C208" s="1" t="s">
        <v>759</v>
      </c>
      <c r="D208" s="1" t="s">
        <v>760</v>
      </c>
      <c r="E208" s="1" t="s">
        <v>13</v>
      </c>
      <c r="F208" s="22">
        <v>33486</v>
      </c>
      <c r="G208" s="1">
        <v>8</v>
      </c>
      <c r="H208" s="1" t="s">
        <v>15</v>
      </c>
      <c r="I208" s="1">
        <v>0</v>
      </c>
      <c r="J208" s="1"/>
      <c r="K208" s="24">
        <v>40583</v>
      </c>
      <c r="L208" s="1" t="s">
        <v>71</v>
      </c>
      <c r="M208" s="3" t="s">
        <v>18</v>
      </c>
      <c r="N208">
        <f>IF(AND( Table15[[#This Row],[Salary]] &gt;= 80000, OR(Table15[[#This Row],[Last_performance_rating]] = "C", Table15[[#This Row],[Last_performance_rating]] = "PIP")) =  TRUE, 1, 0)</f>
        <v>0</v>
      </c>
    </row>
    <row r="209" spans="1:14" x14ac:dyDescent="0.25">
      <c r="A209" s="2">
        <v>451259</v>
      </c>
      <c r="B209" s="22">
        <v>20716</v>
      </c>
      <c r="C209" s="1" t="s">
        <v>763</v>
      </c>
      <c r="D209" s="1" t="s">
        <v>764</v>
      </c>
      <c r="E209" s="1" t="s">
        <v>13</v>
      </c>
      <c r="F209" s="22">
        <v>31628</v>
      </c>
      <c r="G209" s="1">
        <v>10</v>
      </c>
      <c r="H209" s="1" t="s">
        <v>35</v>
      </c>
      <c r="I209" s="1">
        <v>0</v>
      </c>
      <c r="J209" s="1"/>
      <c r="K209" s="24">
        <v>46138</v>
      </c>
      <c r="L209" s="1" t="s">
        <v>46</v>
      </c>
      <c r="M209" s="3" t="s">
        <v>41</v>
      </c>
      <c r="N209">
        <f>IF(AND( Table15[[#This Row],[Salary]] &gt;= 80000, OR(Table15[[#This Row],[Last_performance_rating]] = "C", Table15[[#This Row],[Last_performance_rating]] = "PIP")) =  TRUE, 1, 0)</f>
        <v>0</v>
      </c>
    </row>
    <row r="210" spans="1:14" x14ac:dyDescent="0.25">
      <c r="A210" s="2">
        <v>10125</v>
      </c>
      <c r="B210" s="22">
        <v>21076</v>
      </c>
      <c r="C210" s="1" t="s">
        <v>767</v>
      </c>
      <c r="D210" s="1" t="s">
        <v>768</v>
      </c>
      <c r="E210" s="1" t="s">
        <v>33</v>
      </c>
      <c r="F210" s="22">
        <v>33172</v>
      </c>
      <c r="G210" s="1">
        <v>10</v>
      </c>
      <c r="H210" s="1" t="s">
        <v>15</v>
      </c>
      <c r="I210" s="1">
        <v>0</v>
      </c>
      <c r="J210" s="1"/>
      <c r="K210" s="24">
        <v>58249</v>
      </c>
      <c r="L210" s="1" t="s">
        <v>40</v>
      </c>
      <c r="M210" s="3" t="s">
        <v>41</v>
      </c>
      <c r="N210">
        <f>IF(AND( Table15[[#This Row],[Salary]] &gt;= 80000, OR(Table15[[#This Row],[Last_performance_rating]] = "C", Table15[[#This Row],[Last_performance_rating]] = "PIP")) =  TRUE, 1, 0)</f>
        <v>0</v>
      </c>
    </row>
    <row r="211" spans="1:14" x14ac:dyDescent="0.25">
      <c r="A211" s="2">
        <v>225842</v>
      </c>
      <c r="B211" s="22">
        <v>19066</v>
      </c>
      <c r="C211" s="1" t="s">
        <v>771</v>
      </c>
      <c r="D211" s="1" t="s">
        <v>772</v>
      </c>
      <c r="E211" s="1" t="s">
        <v>13</v>
      </c>
      <c r="F211" s="22">
        <v>31562</v>
      </c>
      <c r="G211" s="1">
        <v>3</v>
      </c>
      <c r="H211" s="1" t="s">
        <v>35</v>
      </c>
      <c r="I211" s="1">
        <v>0</v>
      </c>
      <c r="J211" s="1"/>
      <c r="K211" s="24">
        <v>40000</v>
      </c>
      <c r="L211" s="1" t="s">
        <v>17</v>
      </c>
      <c r="M211" s="3" t="s">
        <v>55</v>
      </c>
      <c r="N211">
        <f>IF(AND( Table15[[#This Row],[Salary]] &gt;= 80000, OR(Table15[[#This Row],[Last_performance_rating]] = "C", Table15[[#This Row],[Last_performance_rating]] = "PIP")) =  TRUE, 1, 0)</f>
        <v>0</v>
      </c>
    </row>
    <row r="212" spans="1:14" x14ac:dyDescent="0.25">
      <c r="A212" s="2">
        <v>10126</v>
      </c>
      <c r="B212" s="22">
        <v>19943</v>
      </c>
      <c r="C212" s="1" t="s">
        <v>775</v>
      </c>
      <c r="D212" s="1" t="s">
        <v>776</v>
      </c>
      <c r="E212" s="1" t="s">
        <v>13</v>
      </c>
      <c r="F212" s="22">
        <v>31298</v>
      </c>
      <c r="G212" s="1">
        <v>10</v>
      </c>
      <c r="H212" s="1" t="s">
        <v>29</v>
      </c>
      <c r="I212" s="1">
        <v>0</v>
      </c>
      <c r="J212" s="1"/>
      <c r="K212" s="24">
        <v>40000</v>
      </c>
      <c r="L212" s="1" t="s">
        <v>89</v>
      </c>
      <c r="M212" s="3" t="s">
        <v>41</v>
      </c>
      <c r="N212">
        <f>IF(AND( Table15[[#This Row],[Salary]] &gt;= 80000, OR(Table15[[#This Row],[Last_performance_rating]] = "C", Table15[[#This Row],[Last_performance_rating]] = "PIP")) =  TRUE, 1, 0)</f>
        <v>0</v>
      </c>
    </row>
    <row r="213" spans="1:14" x14ac:dyDescent="0.25">
      <c r="A213" s="2">
        <v>10127</v>
      </c>
      <c r="B213" s="22">
        <v>19048</v>
      </c>
      <c r="C213" s="1" t="s">
        <v>779</v>
      </c>
      <c r="D213" s="1" t="s">
        <v>780</v>
      </c>
      <c r="E213" s="1" t="s">
        <v>33</v>
      </c>
      <c r="F213" s="22">
        <v>32522</v>
      </c>
      <c r="G213" s="1">
        <v>3</v>
      </c>
      <c r="H213" s="1" t="s">
        <v>29</v>
      </c>
      <c r="I213" s="1">
        <v>1</v>
      </c>
      <c r="J213" s="22">
        <v>34851</v>
      </c>
      <c r="K213" s="24">
        <v>40000</v>
      </c>
      <c r="L213" s="1" t="s">
        <v>17</v>
      </c>
      <c r="M213" s="3" t="s">
        <v>18</v>
      </c>
      <c r="N213">
        <f>IF(AND( Table15[[#This Row],[Salary]] &gt;= 80000, OR(Table15[[#This Row],[Last_performance_rating]] = "C", Table15[[#This Row],[Last_performance_rating]] = "PIP")) =  TRUE, 1, 0)</f>
        <v>0</v>
      </c>
    </row>
    <row r="214" spans="1:14" x14ac:dyDescent="0.25">
      <c r="A214" s="2">
        <v>62038</v>
      </c>
      <c r="B214" s="22">
        <v>21820</v>
      </c>
      <c r="C214" s="1" t="s">
        <v>784</v>
      </c>
      <c r="D214" s="1" t="s">
        <v>785</v>
      </c>
      <c r="E214" s="1" t="s">
        <v>33</v>
      </c>
      <c r="F214" s="22">
        <v>32023</v>
      </c>
      <c r="G214" s="1">
        <v>1</v>
      </c>
      <c r="H214" s="1" t="s">
        <v>35</v>
      </c>
      <c r="I214" s="1">
        <v>1</v>
      </c>
      <c r="J214" s="22">
        <v>35538</v>
      </c>
      <c r="K214" s="24">
        <v>60105</v>
      </c>
      <c r="L214" s="1" t="s">
        <v>61</v>
      </c>
      <c r="M214" s="3" t="s">
        <v>41</v>
      </c>
      <c r="N214">
        <f>IF(AND( Table15[[#This Row],[Salary]] &gt;= 80000, OR(Table15[[#This Row],[Last_performance_rating]] = "C", Table15[[#This Row],[Last_performance_rating]] = "PIP")) =  TRUE, 1, 0)</f>
        <v>0</v>
      </c>
    </row>
    <row r="215" spans="1:14" x14ac:dyDescent="0.25">
      <c r="A215" s="2">
        <v>10128</v>
      </c>
      <c r="B215" s="22">
        <v>21231</v>
      </c>
      <c r="C215" s="1" t="s">
        <v>789</v>
      </c>
      <c r="D215" s="1" t="s">
        <v>790</v>
      </c>
      <c r="E215" s="1" t="s">
        <v>33</v>
      </c>
      <c r="F215" s="22">
        <v>32300</v>
      </c>
      <c r="G215" s="1">
        <v>5</v>
      </c>
      <c r="H215" s="1" t="s">
        <v>15</v>
      </c>
      <c r="I215" s="1">
        <v>0</v>
      </c>
      <c r="J215" s="1"/>
      <c r="K215" s="24">
        <v>40000</v>
      </c>
      <c r="L215" s="1" t="s">
        <v>89</v>
      </c>
      <c r="M215" s="3" t="s">
        <v>41</v>
      </c>
      <c r="N215">
        <f>IF(AND( Table15[[#This Row],[Salary]] &gt;= 80000, OR(Table15[[#This Row],[Last_performance_rating]] = "C", Table15[[#This Row],[Last_performance_rating]] = "PIP")) =  TRUE, 1, 0)</f>
        <v>0</v>
      </c>
    </row>
    <row r="216" spans="1:14" x14ac:dyDescent="0.25">
      <c r="A216" s="2">
        <v>10129</v>
      </c>
      <c r="B216" s="22">
        <v>20425</v>
      </c>
      <c r="C216" s="1" t="s">
        <v>736</v>
      </c>
      <c r="D216" s="1" t="s">
        <v>793</v>
      </c>
      <c r="E216" s="1" t="s">
        <v>13</v>
      </c>
      <c r="F216" s="22">
        <v>31391</v>
      </c>
      <c r="G216" s="1">
        <v>9</v>
      </c>
      <c r="H216" s="1" t="s">
        <v>35</v>
      </c>
      <c r="I216" s="1">
        <v>0</v>
      </c>
      <c r="J216" s="1"/>
      <c r="K216" s="24">
        <v>40000</v>
      </c>
      <c r="L216" s="1" t="s">
        <v>17</v>
      </c>
      <c r="M216" s="3" t="s">
        <v>156</v>
      </c>
      <c r="N216">
        <f>IF(AND( Table15[[#This Row],[Salary]] &gt;= 80000, OR(Table15[[#This Row],[Last_performance_rating]] = "C", Table15[[#This Row],[Last_performance_rating]] = "PIP")) =  TRUE, 1, 0)</f>
        <v>0</v>
      </c>
    </row>
    <row r="217" spans="1:14" x14ac:dyDescent="0.25">
      <c r="A217" s="2">
        <v>256701</v>
      </c>
      <c r="B217" s="22">
        <v>19322</v>
      </c>
      <c r="C217" s="1" t="s">
        <v>796</v>
      </c>
      <c r="D217" s="1" t="s">
        <v>797</v>
      </c>
      <c r="E217" s="1" t="s">
        <v>33</v>
      </c>
      <c r="F217" s="22">
        <v>32334</v>
      </c>
      <c r="G217" s="1">
        <v>1</v>
      </c>
      <c r="H217" s="1" t="s">
        <v>138</v>
      </c>
      <c r="I217" s="1">
        <v>0</v>
      </c>
      <c r="J217" s="1"/>
      <c r="K217" s="24">
        <v>40000</v>
      </c>
      <c r="L217" s="1" t="s">
        <v>17</v>
      </c>
      <c r="M217" s="3" t="s">
        <v>18</v>
      </c>
      <c r="N217">
        <f>IF(AND( Table15[[#This Row],[Salary]] &gt;= 80000, OR(Table15[[#This Row],[Last_performance_rating]] = "C", Table15[[#This Row],[Last_performance_rating]] = "PIP")) =  TRUE, 1, 0)</f>
        <v>0</v>
      </c>
    </row>
    <row r="218" spans="1:14" x14ac:dyDescent="0.25">
      <c r="A218" s="2">
        <v>10130</v>
      </c>
      <c r="B218" s="22">
        <v>20206</v>
      </c>
      <c r="C218" s="1" t="s">
        <v>800</v>
      </c>
      <c r="D218" s="1" t="s">
        <v>801</v>
      </c>
      <c r="E218" s="1" t="s">
        <v>13</v>
      </c>
      <c r="F218" s="22">
        <v>32315</v>
      </c>
      <c r="G218" s="1">
        <v>2</v>
      </c>
      <c r="H218" s="1" t="s">
        <v>35</v>
      </c>
      <c r="I218" s="1">
        <v>0</v>
      </c>
      <c r="J218" s="1"/>
      <c r="K218" s="24">
        <v>40000</v>
      </c>
      <c r="L218" s="1" t="s">
        <v>24</v>
      </c>
      <c r="M218" s="3" t="s">
        <v>18</v>
      </c>
      <c r="N218">
        <f>IF(AND( Table15[[#This Row],[Salary]] &gt;= 80000, OR(Table15[[#This Row],[Last_performance_rating]] = "C", Table15[[#This Row],[Last_performance_rating]] = "PIP")) =  TRUE, 1, 0)</f>
        <v>0</v>
      </c>
    </row>
    <row r="219" spans="1:14" x14ac:dyDescent="0.25">
      <c r="A219" s="2">
        <v>10131</v>
      </c>
      <c r="B219" s="22">
        <v>19043</v>
      </c>
      <c r="C219" s="1" t="s">
        <v>804</v>
      </c>
      <c r="D219" s="1" t="s">
        <v>805</v>
      </c>
      <c r="E219" s="1" t="s">
        <v>13</v>
      </c>
      <c r="F219" s="22">
        <v>34655</v>
      </c>
      <c r="G219" s="1">
        <v>8</v>
      </c>
      <c r="H219" s="1" t="s">
        <v>29</v>
      </c>
      <c r="I219" s="1">
        <v>0</v>
      </c>
      <c r="J219" s="1"/>
      <c r="K219" s="24">
        <v>48475</v>
      </c>
      <c r="L219" s="1" t="s">
        <v>24</v>
      </c>
      <c r="M219" s="3" t="s">
        <v>55</v>
      </c>
      <c r="N219">
        <f>IF(AND( Table15[[#This Row],[Salary]] &gt;= 80000, OR(Table15[[#This Row],[Last_performance_rating]] = "C", Table15[[#This Row],[Last_performance_rating]] = "PIP")) =  TRUE, 1, 0)</f>
        <v>0</v>
      </c>
    </row>
    <row r="220" spans="1:14" x14ac:dyDescent="0.25">
      <c r="A220" s="2">
        <v>205366</v>
      </c>
      <c r="B220" s="22">
        <v>23428</v>
      </c>
      <c r="C220" s="1" t="s">
        <v>808</v>
      </c>
      <c r="D220" s="1" t="s">
        <v>809</v>
      </c>
      <c r="E220" s="1" t="s">
        <v>33</v>
      </c>
      <c r="F220" s="22">
        <v>31882</v>
      </c>
      <c r="G220" s="1">
        <v>9</v>
      </c>
      <c r="H220" s="1" t="s">
        <v>29</v>
      </c>
      <c r="I220" s="1">
        <v>0</v>
      </c>
      <c r="J220" s="1"/>
      <c r="K220" s="24">
        <v>80518</v>
      </c>
      <c r="L220" s="1" t="s">
        <v>40</v>
      </c>
      <c r="M220" s="3" t="s">
        <v>102</v>
      </c>
      <c r="N220">
        <f>IF(AND( Table15[[#This Row],[Salary]] &gt;= 80000, OR(Table15[[#This Row],[Last_performance_rating]] = "C", Table15[[#This Row],[Last_performance_rating]] = "PIP")) =  TRUE, 1, 0)</f>
        <v>0</v>
      </c>
    </row>
    <row r="221" spans="1:14" x14ac:dyDescent="0.25">
      <c r="A221" s="2">
        <v>205366</v>
      </c>
      <c r="B221" s="22">
        <v>23428</v>
      </c>
      <c r="C221" s="1" t="s">
        <v>808</v>
      </c>
      <c r="D221" s="1" t="s">
        <v>809</v>
      </c>
      <c r="E221" s="1" t="s">
        <v>33</v>
      </c>
      <c r="F221" s="22">
        <v>31882</v>
      </c>
      <c r="G221" s="1">
        <v>9</v>
      </c>
      <c r="H221" s="1" t="s">
        <v>29</v>
      </c>
      <c r="I221" s="1">
        <v>0</v>
      </c>
      <c r="J221" s="1"/>
      <c r="K221" s="24">
        <v>80518</v>
      </c>
      <c r="L221" s="1" t="s">
        <v>89</v>
      </c>
      <c r="M221" s="3" t="s">
        <v>102</v>
      </c>
      <c r="N221">
        <f>IF(AND( Table15[[#This Row],[Salary]] &gt;= 80000, OR(Table15[[#This Row],[Last_performance_rating]] = "C", Table15[[#This Row],[Last_performance_rating]] = "PIP")) =  TRUE, 1, 0)</f>
        <v>0</v>
      </c>
    </row>
    <row r="222" spans="1:14" x14ac:dyDescent="0.25">
      <c r="A222" s="2">
        <v>10132</v>
      </c>
      <c r="B222" s="22">
        <v>20804</v>
      </c>
      <c r="C222" s="1" t="s">
        <v>812</v>
      </c>
      <c r="D222" s="1" t="s">
        <v>813</v>
      </c>
      <c r="E222" s="1" t="s">
        <v>13</v>
      </c>
      <c r="F222" s="22">
        <v>34637</v>
      </c>
      <c r="G222" s="1">
        <v>6</v>
      </c>
      <c r="H222" s="1" t="s">
        <v>29</v>
      </c>
      <c r="I222" s="1">
        <v>0</v>
      </c>
      <c r="J222" s="1"/>
      <c r="K222" s="24">
        <v>61590</v>
      </c>
      <c r="L222" s="1" t="s">
        <v>108</v>
      </c>
      <c r="M222" s="3" t="s">
        <v>41</v>
      </c>
      <c r="N222">
        <f>IF(AND( Table15[[#This Row],[Salary]] &gt;= 80000, OR(Table15[[#This Row],[Last_performance_rating]] = "C", Table15[[#This Row],[Last_performance_rating]] = "PIP")) =  TRUE, 1, 0)</f>
        <v>0</v>
      </c>
    </row>
    <row r="223" spans="1:14" x14ac:dyDescent="0.25">
      <c r="A223" s="2">
        <v>10133</v>
      </c>
      <c r="B223" s="22">
        <v>23357</v>
      </c>
      <c r="C223" s="1" t="s">
        <v>816</v>
      </c>
      <c r="D223" s="1" t="s">
        <v>817</v>
      </c>
      <c r="E223" s="1" t="s">
        <v>13</v>
      </c>
      <c r="F223" s="22">
        <v>31396</v>
      </c>
      <c r="G223" s="1">
        <v>7</v>
      </c>
      <c r="H223" s="1" t="s">
        <v>35</v>
      </c>
      <c r="I223" s="1">
        <v>0</v>
      </c>
      <c r="J223" s="1"/>
      <c r="K223" s="24">
        <v>40000</v>
      </c>
      <c r="L223" s="1" t="s">
        <v>24</v>
      </c>
      <c r="M223" s="3" t="s">
        <v>18</v>
      </c>
      <c r="N223">
        <f>IF(AND( Table15[[#This Row],[Salary]] &gt;= 80000, OR(Table15[[#This Row],[Last_performance_rating]] = "C", Table15[[#This Row],[Last_performance_rating]] = "PIP")) =  TRUE, 1, 0)</f>
        <v>0</v>
      </c>
    </row>
    <row r="224" spans="1:14" x14ac:dyDescent="0.25">
      <c r="A224" s="2">
        <v>101013</v>
      </c>
      <c r="B224" s="22">
        <v>22336</v>
      </c>
      <c r="C224" s="1" t="s">
        <v>820</v>
      </c>
      <c r="D224" s="1" t="s">
        <v>821</v>
      </c>
      <c r="E224" s="1" t="s">
        <v>13</v>
      </c>
      <c r="F224" s="22">
        <v>32831</v>
      </c>
      <c r="G224" s="1">
        <v>10</v>
      </c>
      <c r="H224" s="1" t="s">
        <v>29</v>
      </c>
      <c r="I224" s="1">
        <v>0</v>
      </c>
      <c r="J224" s="1"/>
      <c r="K224" s="24">
        <v>68550</v>
      </c>
      <c r="L224" s="1" t="s">
        <v>24</v>
      </c>
      <c r="M224" s="3" t="s">
        <v>18</v>
      </c>
      <c r="N224">
        <f>IF(AND( Table15[[#This Row],[Salary]] &gt;= 80000, OR(Table15[[#This Row],[Last_performance_rating]] = "C", Table15[[#This Row],[Last_performance_rating]] = "PIP")) =  TRUE, 1, 0)</f>
        <v>0</v>
      </c>
    </row>
    <row r="225" spans="1:14" x14ac:dyDescent="0.25">
      <c r="A225" s="2">
        <v>10134</v>
      </c>
      <c r="B225" s="22">
        <v>19464</v>
      </c>
      <c r="C225" s="1" t="s">
        <v>824</v>
      </c>
      <c r="D225" s="1" t="s">
        <v>825</v>
      </c>
      <c r="E225" s="1" t="s">
        <v>13</v>
      </c>
      <c r="F225" s="22">
        <v>32123</v>
      </c>
      <c r="G225" s="1">
        <v>7</v>
      </c>
      <c r="H225" s="1" t="s">
        <v>29</v>
      </c>
      <c r="I225" s="1">
        <v>0</v>
      </c>
      <c r="J225" s="1"/>
      <c r="K225" s="24">
        <v>40000</v>
      </c>
      <c r="L225" s="1" t="s">
        <v>24</v>
      </c>
      <c r="M225" s="3" t="s">
        <v>18</v>
      </c>
      <c r="N225">
        <f>IF(AND( Table15[[#This Row],[Salary]] &gt;= 80000, OR(Table15[[#This Row],[Last_performance_rating]] = "C", Table15[[#This Row],[Last_performance_rating]] = "PIP")) =  TRUE, 1, 0)</f>
        <v>0</v>
      </c>
    </row>
    <row r="226" spans="1:14" x14ac:dyDescent="0.25">
      <c r="A226" s="2">
        <v>10134</v>
      </c>
      <c r="B226" s="22">
        <v>19464</v>
      </c>
      <c r="C226" s="1" t="s">
        <v>824</v>
      </c>
      <c r="D226" s="1" t="s">
        <v>825</v>
      </c>
      <c r="E226" s="1" t="s">
        <v>13</v>
      </c>
      <c r="F226" s="22">
        <v>32123</v>
      </c>
      <c r="G226" s="1">
        <v>7</v>
      </c>
      <c r="H226" s="1" t="s">
        <v>29</v>
      </c>
      <c r="I226" s="1">
        <v>0</v>
      </c>
      <c r="J226" s="1"/>
      <c r="K226" s="24">
        <v>40000</v>
      </c>
      <c r="L226" s="1" t="s">
        <v>17</v>
      </c>
      <c r="M226" s="3" t="s">
        <v>18</v>
      </c>
      <c r="N226">
        <f>IF(AND( Table15[[#This Row],[Salary]] &gt;= 80000, OR(Table15[[#This Row],[Last_performance_rating]] = "C", Table15[[#This Row],[Last_performance_rating]] = "PIP")) =  TRUE, 1, 0)</f>
        <v>0</v>
      </c>
    </row>
    <row r="227" spans="1:14" x14ac:dyDescent="0.25">
      <c r="A227" s="2">
        <v>212882</v>
      </c>
      <c r="B227" s="22">
        <v>21545</v>
      </c>
      <c r="C227" s="1" t="s">
        <v>828</v>
      </c>
      <c r="D227" s="1" t="s">
        <v>829</v>
      </c>
      <c r="E227" s="1" t="s">
        <v>33</v>
      </c>
      <c r="F227" s="22">
        <v>33647</v>
      </c>
      <c r="G227" s="1">
        <v>2</v>
      </c>
      <c r="H227" s="1" t="s">
        <v>29</v>
      </c>
      <c r="I227" s="1">
        <v>0</v>
      </c>
      <c r="J227" s="1"/>
      <c r="K227" s="24">
        <v>40000</v>
      </c>
      <c r="L227" s="1" t="s">
        <v>89</v>
      </c>
      <c r="M227" s="3" t="s">
        <v>41</v>
      </c>
      <c r="N227">
        <f>IF(AND( Table15[[#This Row],[Salary]] &gt;= 80000, OR(Table15[[#This Row],[Last_performance_rating]] = "C", Table15[[#This Row],[Last_performance_rating]] = "PIP")) =  TRUE, 1, 0)</f>
        <v>0</v>
      </c>
    </row>
    <row r="228" spans="1:14" x14ac:dyDescent="0.25">
      <c r="A228" s="2">
        <v>10135</v>
      </c>
      <c r="B228" s="22">
        <v>20812</v>
      </c>
      <c r="C228" s="1" t="s">
        <v>832</v>
      </c>
      <c r="D228" s="1" t="s">
        <v>833</v>
      </c>
      <c r="E228" s="1" t="s">
        <v>13</v>
      </c>
      <c r="F228" s="22">
        <v>32192</v>
      </c>
      <c r="G228" s="1">
        <v>7</v>
      </c>
      <c r="H228" s="1" t="s">
        <v>15</v>
      </c>
      <c r="I228" s="1">
        <v>0</v>
      </c>
      <c r="J228" s="1"/>
      <c r="K228" s="24">
        <v>40000</v>
      </c>
      <c r="L228" s="1" t="s">
        <v>24</v>
      </c>
      <c r="M228" s="3" t="s">
        <v>55</v>
      </c>
      <c r="N228">
        <f>IF(AND( Table15[[#This Row],[Salary]] &gt;= 80000, OR(Table15[[#This Row],[Last_performance_rating]] = "C", Table15[[#This Row],[Last_performance_rating]] = "PIP")) =  TRUE, 1, 0)</f>
        <v>0</v>
      </c>
    </row>
    <row r="229" spans="1:14" x14ac:dyDescent="0.25">
      <c r="A229" s="2">
        <v>10136</v>
      </c>
      <c r="B229" s="22">
        <v>22538</v>
      </c>
      <c r="C229" s="1" t="s">
        <v>836</v>
      </c>
      <c r="D229" s="1" t="s">
        <v>837</v>
      </c>
      <c r="E229" s="1" t="s">
        <v>13</v>
      </c>
      <c r="F229" s="22">
        <v>31454</v>
      </c>
      <c r="G229" s="1">
        <v>10</v>
      </c>
      <c r="H229" s="1" t="s">
        <v>15</v>
      </c>
      <c r="I229" s="1">
        <v>0</v>
      </c>
      <c r="J229" s="1"/>
      <c r="K229" s="24">
        <v>82420</v>
      </c>
      <c r="L229" s="1" t="s">
        <v>40</v>
      </c>
      <c r="M229" s="3" t="s">
        <v>41</v>
      </c>
      <c r="N229">
        <f>IF(AND( Table15[[#This Row],[Salary]] &gt;= 80000, OR(Table15[[#This Row],[Last_performance_rating]] = "C", Table15[[#This Row],[Last_performance_rating]] = "PIP")) =  TRUE, 1, 0)</f>
        <v>1</v>
      </c>
    </row>
    <row r="230" spans="1:14" x14ac:dyDescent="0.25">
      <c r="A230" s="2">
        <v>21620</v>
      </c>
      <c r="B230" s="22">
        <v>22244</v>
      </c>
      <c r="C230" s="1" t="s">
        <v>563</v>
      </c>
      <c r="D230" s="1" t="s">
        <v>840</v>
      </c>
      <c r="E230" s="1" t="s">
        <v>13</v>
      </c>
      <c r="F230" s="22">
        <v>33965</v>
      </c>
      <c r="G230" s="1">
        <v>8</v>
      </c>
      <c r="H230" s="1" t="s">
        <v>138</v>
      </c>
      <c r="I230" s="1">
        <v>0</v>
      </c>
      <c r="J230" s="1"/>
      <c r="K230" s="24">
        <v>40000</v>
      </c>
      <c r="L230" s="1" t="s">
        <v>61</v>
      </c>
      <c r="M230" s="3" t="s">
        <v>41</v>
      </c>
      <c r="N230">
        <f>IF(AND( Table15[[#This Row],[Salary]] &gt;= 80000, OR(Table15[[#This Row],[Last_performance_rating]] = "C", Table15[[#This Row],[Last_performance_rating]] = "PIP")) =  TRUE, 1, 0)</f>
        <v>0</v>
      </c>
    </row>
    <row r="231" spans="1:14" x14ac:dyDescent="0.25">
      <c r="A231" s="2">
        <v>10137</v>
      </c>
      <c r="B231" s="22">
        <v>21761</v>
      </c>
      <c r="C231" s="1" t="s">
        <v>843</v>
      </c>
      <c r="D231" s="1" t="s">
        <v>844</v>
      </c>
      <c r="E231" s="1" t="s">
        <v>13</v>
      </c>
      <c r="F231" s="22">
        <v>31096</v>
      </c>
      <c r="G231" s="1">
        <v>3</v>
      </c>
      <c r="H231" s="1" t="s">
        <v>35</v>
      </c>
      <c r="I231" s="1">
        <v>0</v>
      </c>
      <c r="J231" s="1"/>
      <c r="K231" s="24">
        <v>40000</v>
      </c>
      <c r="L231" s="1" t="s">
        <v>89</v>
      </c>
      <c r="M231" s="3" t="s">
        <v>41</v>
      </c>
      <c r="N231">
        <f>IF(AND( Table15[[#This Row],[Salary]] &gt;= 80000, OR(Table15[[#This Row],[Last_performance_rating]] = "C", Table15[[#This Row],[Last_performance_rating]] = "PIP")) =  TRUE, 1, 0)</f>
        <v>0</v>
      </c>
    </row>
    <row r="232" spans="1:14" x14ac:dyDescent="0.25">
      <c r="A232" s="2">
        <v>10138</v>
      </c>
      <c r="B232" s="22">
        <v>20203</v>
      </c>
      <c r="C232" s="1" t="s">
        <v>163</v>
      </c>
      <c r="D232" s="1" t="s">
        <v>809</v>
      </c>
      <c r="E232" s="1" t="s">
        <v>13</v>
      </c>
      <c r="F232" s="22">
        <v>31673</v>
      </c>
      <c r="G232" s="1">
        <v>5</v>
      </c>
      <c r="H232" s="1" t="s">
        <v>15</v>
      </c>
      <c r="I232" s="1">
        <v>0</v>
      </c>
      <c r="J232" s="1"/>
      <c r="K232" s="24">
        <v>53574</v>
      </c>
      <c r="L232" s="1" t="s">
        <v>71</v>
      </c>
      <c r="M232" s="3" t="s">
        <v>18</v>
      </c>
      <c r="N232">
        <f>IF(AND( Table15[[#This Row],[Salary]] &gt;= 80000, OR(Table15[[#This Row],[Last_performance_rating]] = "C", Table15[[#This Row],[Last_performance_rating]] = "PIP")) =  TRUE, 1, 0)</f>
        <v>0</v>
      </c>
    </row>
    <row r="233" spans="1:14" x14ac:dyDescent="0.25">
      <c r="A233" s="2">
        <v>223670</v>
      </c>
      <c r="B233" s="22">
        <v>19214</v>
      </c>
      <c r="C233" s="1" t="s">
        <v>483</v>
      </c>
      <c r="D233" s="1" t="s">
        <v>848</v>
      </c>
      <c r="E233" s="1" t="s">
        <v>33</v>
      </c>
      <c r="F233" s="22">
        <v>33055</v>
      </c>
      <c r="G233" s="1">
        <v>1</v>
      </c>
      <c r="H233" s="1" t="s">
        <v>29</v>
      </c>
      <c r="I233" s="1">
        <v>1</v>
      </c>
      <c r="J233" s="22">
        <v>34209</v>
      </c>
      <c r="K233" s="24">
        <v>40000</v>
      </c>
      <c r="L233" s="1" t="s">
        <v>17</v>
      </c>
      <c r="M233" s="3" t="s">
        <v>18</v>
      </c>
      <c r="N233">
        <f>IF(AND( Table15[[#This Row],[Salary]] &gt;= 80000, OR(Table15[[#This Row],[Last_performance_rating]] = "C", Table15[[#This Row],[Last_performance_rating]] = "PIP")) =  TRUE, 1, 0)</f>
        <v>0</v>
      </c>
    </row>
    <row r="234" spans="1:14" x14ac:dyDescent="0.25">
      <c r="A234" s="2">
        <v>10139</v>
      </c>
      <c r="B234" s="22">
        <v>23073</v>
      </c>
      <c r="C234" s="1" t="s">
        <v>852</v>
      </c>
      <c r="D234" s="1" t="s">
        <v>853</v>
      </c>
      <c r="E234" s="1" t="s">
        <v>33</v>
      </c>
      <c r="F234" s="22">
        <v>35869</v>
      </c>
      <c r="G234" s="1">
        <v>7</v>
      </c>
      <c r="H234" s="1" t="s">
        <v>370</v>
      </c>
      <c r="I234" s="1">
        <v>0</v>
      </c>
      <c r="J234" s="1"/>
      <c r="K234" s="24">
        <v>40000</v>
      </c>
      <c r="L234" s="1" t="s">
        <v>17</v>
      </c>
      <c r="M234" s="3" t="s">
        <v>55</v>
      </c>
      <c r="N234">
        <f>IF(AND( Table15[[#This Row],[Salary]] &gt;= 80000, OR(Table15[[#This Row],[Last_performance_rating]] = "C", Table15[[#This Row],[Last_performance_rating]] = "PIP")) =  TRUE, 1, 0)</f>
        <v>0</v>
      </c>
    </row>
    <row r="235" spans="1:14" x14ac:dyDescent="0.25">
      <c r="A235" s="2">
        <v>10140</v>
      </c>
      <c r="B235" s="22">
        <v>20890</v>
      </c>
      <c r="C235" s="1" t="s">
        <v>856</v>
      </c>
      <c r="D235" s="1" t="s">
        <v>857</v>
      </c>
      <c r="E235" s="1" t="s">
        <v>33</v>
      </c>
      <c r="F235" s="22">
        <v>33311</v>
      </c>
      <c r="G235" s="1">
        <v>2</v>
      </c>
      <c r="H235" s="1" t="s">
        <v>35</v>
      </c>
      <c r="I235" s="1">
        <v>0</v>
      </c>
      <c r="J235" s="1"/>
      <c r="K235" s="24">
        <v>61352</v>
      </c>
      <c r="L235" s="1" t="s">
        <v>125</v>
      </c>
      <c r="M235" s="3" t="s">
        <v>41</v>
      </c>
      <c r="N235">
        <f>IF(AND( Table15[[#This Row],[Salary]] &gt;= 80000, OR(Table15[[#This Row],[Last_performance_rating]] = "C", Table15[[#This Row],[Last_performance_rating]] = "PIP")) =  TRUE, 1, 0)</f>
        <v>0</v>
      </c>
    </row>
    <row r="236" spans="1:14" x14ac:dyDescent="0.25">
      <c r="A236" s="2">
        <v>209422</v>
      </c>
      <c r="B236" s="22">
        <v>23586</v>
      </c>
      <c r="C236" s="1" t="s">
        <v>860</v>
      </c>
      <c r="D236" s="1" t="s">
        <v>861</v>
      </c>
      <c r="E236" s="1" t="s">
        <v>13</v>
      </c>
      <c r="F236" s="22">
        <v>36172</v>
      </c>
      <c r="G236" s="1">
        <v>2</v>
      </c>
      <c r="H236" s="1" t="s">
        <v>35</v>
      </c>
      <c r="I236" s="1">
        <v>0</v>
      </c>
      <c r="J236" s="1"/>
      <c r="K236" s="24">
        <v>72780</v>
      </c>
      <c r="L236" s="1" t="s">
        <v>24</v>
      </c>
      <c r="M236" s="3" t="s">
        <v>55</v>
      </c>
      <c r="N236">
        <f>IF(AND( Table15[[#This Row],[Salary]] &gt;= 80000, OR(Table15[[#This Row],[Last_performance_rating]] = "C", Table15[[#This Row],[Last_performance_rating]] = "PIP")) =  TRUE, 1, 0)</f>
        <v>0</v>
      </c>
    </row>
    <row r="237" spans="1:14" x14ac:dyDescent="0.25">
      <c r="A237" s="2">
        <v>10141</v>
      </c>
      <c r="B237" s="22">
        <v>21932</v>
      </c>
      <c r="C237" s="1" t="s">
        <v>158</v>
      </c>
      <c r="D237" s="1" t="s">
        <v>864</v>
      </c>
      <c r="E237" s="1" t="s">
        <v>33</v>
      </c>
      <c r="F237" s="22">
        <v>34095</v>
      </c>
      <c r="G237" s="1">
        <v>9</v>
      </c>
      <c r="H237" s="1" t="s">
        <v>138</v>
      </c>
      <c r="I237" s="1">
        <v>1</v>
      </c>
      <c r="J237" s="22">
        <v>38090</v>
      </c>
      <c r="K237" s="24">
        <v>62907</v>
      </c>
      <c r="L237" s="1" t="s">
        <v>61</v>
      </c>
      <c r="M237" s="3" t="s">
        <v>102</v>
      </c>
      <c r="N237">
        <f>IF(AND( Table15[[#This Row],[Salary]] &gt;= 80000, OR(Table15[[#This Row],[Last_performance_rating]] = "C", Table15[[#This Row],[Last_performance_rating]] = "PIP")) =  TRUE, 1, 0)</f>
        <v>0</v>
      </c>
    </row>
    <row r="238" spans="1:14" x14ac:dyDescent="0.25">
      <c r="A238" s="2">
        <v>10142</v>
      </c>
      <c r="B238" s="22">
        <v>20696</v>
      </c>
      <c r="C238" s="1" t="s">
        <v>57</v>
      </c>
      <c r="D238" s="1" t="s">
        <v>868</v>
      </c>
      <c r="E238" s="1" t="s">
        <v>13</v>
      </c>
      <c r="F238" s="22">
        <v>34270</v>
      </c>
      <c r="G238" s="1">
        <v>5</v>
      </c>
      <c r="H238" s="1" t="s">
        <v>15</v>
      </c>
      <c r="I238" s="1">
        <v>0</v>
      </c>
      <c r="J238" s="1"/>
      <c r="K238" s="24">
        <v>40000</v>
      </c>
      <c r="L238" s="1" t="s">
        <v>17</v>
      </c>
      <c r="M238" s="3" t="s">
        <v>18</v>
      </c>
      <c r="N238">
        <f>IF(AND( Table15[[#This Row],[Salary]] &gt;= 80000, OR(Table15[[#This Row],[Last_performance_rating]] = "C", Table15[[#This Row],[Last_performance_rating]] = "PIP")) =  TRUE, 1, 0)</f>
        <v>0</v>
      </c>
    </row>
    <row r="239" spans="1:14" x14ac:dyDescent="0.25">
      <c r="A239" s="2">
        <v>403328</v>
      </c>
      <c r="B239" s="22">
        <v>21637</v>
      </c>
      <c r="C239" s="1" t="s">
        <v>871</v>
      </c>
      <c r="D239" s="1" t="s">
        <v>872</v>
      </c>
      <c r="E239" s="1" t="s">
        <v>13</v>
      </c>
      <c r="F239" s="22">
        <v>34599</v>
      </c>
      <c r="G239" s="1">
        <v>4</v>
      </c>
      <c r="H239" s="1" t="s">
        <v>15</v>
      </c>
      <c r="I239" s="1">
        <v>0</v>
      </c>
      <c r="J239" s="1"/>
      <c r="K239" s="24">
        <v>40000</v>
      </c>
      <c r="L239" s="1" t="s">
        <v>24</v>
      </c>
      <c r="M239" s="3" t="s">
        <v>18</v>
      </c>
      <c r="N239">
        <f>IF(AND( Table15[[#This Row],[Salary]] &gt;= 80000, OR(Table15[[#This Row],[Last_performance_rating]] = "C", Table15[[#This Row],[Last_performance_rating]] = "PIP")) =  TRUE, 1, 0)</f>
        <v>0</v>
      </c>
    </row>
    <row r="240" spans="1:14" x14ac:dyDescent="0.25">
      <c r="A240" s="2">
        <v>403328</v>
      </c>
      <c r="B240" s="22">
        <v>21637</v>
      </c>
      <c r="C240" s="1" t="s">
        <v>871</v>
      </c>
      <c r="D240" s="1" t="s">
        <v>872</v>
      </c>
      <c r="E240" s="1" t="s">
        <v>13</v>
      </c>
      <c r="F240" s="22">
        <v>34599</v>
      </c>
      <c r="G240" s="1">
        <v>4</v>
      </c>
      <c r="H240" s="1" t="s">
        <v>15</v>
      </c>
      <c r="I240" s="1">
        <v>0</v>
      </c>
      <c r="J240" s="1"/>
      <c r="K240" s="24">
        <v>40000</v>
      </c>
      <c r="L240" s="1" t="s">
        <v>89</v>
      </c>
      <c r="M240" s="3" t="s">
        <v>18</v>
      </c>
      <c r="N240">
        <f>IF(AND( Table15[[#This Row],[Salary]] &gt;= 80000, OR(Table15[[#This Row],[Last_performance_rating]] = "C", Table15[[#This Row],[Last_performance_rating]] = "PIP")) =  TRUE, 1, 0)</f>
        <v>0</v>
      </c>
    </row>
    <row r="241" spans="1:14" x14ac:dyDescent="0.25">
      <c r="A241" s="2">
        <v>10143</v>
      </c>
      <c r="B241" s="22">
        <v>22478</v>
      </c>
      <c r="C241" s="1" t="s">
        <v>875</v>
      </c>
      <c r="D241" s="1" t="s">
        <v>402</v>
      </c>
      <c r="E241" s="1" t="s">
        <v>13</v>
      </c>
      <c r="F241" s="22">
        <v>32416</v>
      </c>
      <c r="G241" s="1">
        <v>7</v>
      </c>
      <c r="H241" s="1" t="s">
        <v>29</v>
      </c>
      <c r="I241" s="1">
        <v>0</v>
      </c>
      <c r="J241" s="1"/>
      <c r="K241" s="24">
        <v>40000</v>
      </c>
      <c r="L241" s="1" t="s">
        <v>17</v>
      </c>
      <c r="M241" s="3" t="s">
        <v>18</v>
      </c>
      <c r="N241">
        <f>IF(AND( Table15[[#This Row],[Salary]] &gt;= 80000, OR(Table15[[#This Row],[Last_performance_rating]] = "C", Table15[[#This Row],[Last_performance_rating]] = "PIP")) =  TRUE, 1, 0)</f>
        <v>0</v>
      </c>
    </row>
    <row r="242" spans="1:14" x14ac:dyDescent="0.25">
      <c r="A242" s="2">
        <v>10144</v>
      </c>
      <c r="B242" s="22">
        <v>21718</v>
      </c>
      <c r="C242" s="1" t="s">
        <v>878</v>
      </c>
      <c r="D242" s="1" t="s">
        <v>879</v>
      </c>
      <c r="E242" s="1" t="s">
        <v>13</v>
      </c>
      <c r="F242" s="22">
        <v>31334</v>
      </c>
      <c r="G242" s="1">
        <v>1</v>
      </c>
      <c r="H242" s="1" t="s">
        <v>29</v>
      </c>
      <c r="I242" s="1">
        <v>0</v>
      </c>
      <c r="J242" s="1"/>
      <c r="K242" s="24">
        <v>56720</v>
      </c>
      <c r="L242" s="1" t="s">
        <v>108</v>
      </c>
      <c r="M242" s="3" t="s">
        <v>41</v>
      </c>
      <c r="N242">
        <f>IF(AND( Table15[[#This Row],[Salary]] &gt;= 80000, OR(Table15[[#This Row],[Last_performance_rating]] = "C", Table15[[#This Row],[Last_performance_rating]] = "PIP")) =  TRUE, 1, 0)</f>
        <v>0</v>
      </c>
    </row>
    <row r="243" spans="1:14" x14ac:dyDescent="0.25">
      <c r="A243" s="2">
        <v>10144</v>
      </c>
      <c r="B243" s="22">
        <v>21718</v>
      </c>
      <c r="C243" s="1" t="s">
        <v>878</v>
      </c>
      <c r="D243" s="1" t="s">
        <v>879</v>
      </c>
      <c r="E243" s="1" t="s">
        <v>13</v>
      </c>
      <c r="F243" s="22">
        <v>31334</v>
      </c>
      <c r="G243" s="1">
        <v>1</v>
      </c>
      <c r="H243" s="1" t="s">
        <v>29</v>
      </c>
      <c r="I243" s="1">
        <v>0</v>
      </c>
      <c r="J243" s="1"/>
      <c r="K243" s="24">
        <v>56720</v>
      </c>
      <c r="L243" s="1" t="s">
        <v>46</v>
      </c>
      <c r="M243" s="3" t="s">
        <v>41</v>
      </c>
      <c r="N243">
        <f>IF(AND( Table15[[#This Row],[Salary]] &gt;= 80000, OR(Table15[[#This Row],[Last_performance_rating]] = "C", Table15[[#This Row],[Last_performance_rating]] = "PIP")) =  TRUE, 1, 0)</f>
        <v>0</v>
      </c>
    </row>
    <row r="244" spans="1:14" x14ac:dyDescent="0.25">
      <c r="A244" s="2">
        <v>292694</v>
      </c>
      <c r="B244" s="22">
        <v>23548</v>
      </c>
      <c r="C244" s="1" t="s">
        <v>881</v>
      </c>
      <c r="D244" s="1" t="s">
        <v>243</v>
      </c>
      <c r="E244" s="1" t="s">
        <v>13</v>
      </c>
      <c r="F244" s="22">
        <v>33215</v>
      </c>
      <c r="G244" s="1">
        <v>10</v>
      </c>
      <c r="H244" s="1" t="s">
        <v>15</v>
      </c>
      <c r="I244" s="1">
        <v>0</v>
      </c>
      <c r="J244" s="1"/>
      <c r="K244" s="24">
        <v>40000</v>
      </c>
      <c r="L244" s="1" t="s">
        <v>24</v>
      </c>
      <c r="M244" s="3" t="s">
        <v>18</v>
      </c>
      <c r="N244">
        <f>IF(AND( Table15[[#This Row],[Salary]] &gt;= 80000, OR(Table15[[#This Row],[Last_performance_rating]] = "C", Table15[[#This Row],[Last_performance_rating]] = "PIP")) =  TRUE, 1, 0)</f>
        <v>0</v>
      </c>
    </row>
    <row r="245" spans="1:14" x14ac:dyDescent="0.25">
      <c r="A245" s="2">
        <v>10145</v>
      </c>
      <c r="B245" s="22">
        <v>20544</v>
      </c>
      <c r="C245" s="1" t="s">
        <v>642</v>
      </c>
      <c r="D245" s="1" t="s">
        <v>748</v>
      </c>
      <c r="E245" s="1" t="s">
        <v>33</v>
      </c>
      <c r="F245" s="22">
        <v>31990</v>
      </c>
      <c r="G245" s="1">
        <v>4</v>
      </c>
      <c r="H245" s="1" t="s">
        <v>29</v>
      </c>
      <c r="I245" s="1">
        <v>0</v>
      </c>
      <c r="J245" s="1"/>
      <c r="K245" s="24">
        <v>47612</v>
      </c>
      <c r="L245" s="1" t="s">
        <v>17</v>
      </c>
      <c r="M245" s="3" t="s">
        <v>55</v>
      </c>
      <c r="N245">
        <f>IF(AND( Table15[[#This Row],[Salary]] &gt;= 80000, OR(Table15[[#This Row],[Last_performance_rating]] = "C", Table15[[#This Row],[Last_performance_rating]] = "PIP")) =  TRUE, 1, 0)</f>
        <v>0</v>
      </c>
    </row>
    <row r="246" spans="1:14" x14ac:dyDescent="0.25">
      <c r="A246" s="2">
        <v>10146</v>
      </c>
      <c r="B246" s="22">
        <v>21562</v>
      </c>
      <c r="C246" s="1" t="s">
        <v>886</v>
      </c>
      <c r="D246" s="1" t="s">
        <v>887</v>
      </c>
      <c r="E246" s="1" t="s">
        <v>13</v>
      </c>
      <c r="F246" s="22">
        <v>32322</v>
      </c>
      <c r="G246" s="1">
        <v>6</v>
      </c>
      <c r="H246" s="1" t="s">
        <v>35</v>
      </c>
      <c r="I246" s="1">
        <v>0</v>
      </c>
      <c r="J246" s="1"/>
      <c r="K246" s="24">
        <v>60394</v>
      </c>
      <c r="L246" s="1" t="s">
        <v>108</v>
      </c>
      <c r="M246" s="3" t="s">
        <v>41</v>
      </c>
      <c r="N246">
        <f>IF(AND( Table15[[#This Row],[Salary]] &gt;= 80000, OR(Table15[[#This Row],[Last_performance_rating]] = "C", Table15[[#This Row],[Last_performance_rating]] = "PIP")) =  TRUE, 1, 0)</f>
        <v>0</v>
      </c>
    </row>
    <row r="247" spans="1:14" x14ac:dyDescent="0.25">
      <c r="A247" s="2">
        <v>10147</v>
      </c>
      <c r="B247" s="22">
        <v>23663</v>
      </c>
      <c r="C247" s="1" t="s">
        <v>118</v>
      </c>
      <c r="D247" s="1" t="s">
        <v>702</v>
      </c>
      <c r="E247" s="1" t="s">
        <v>13</v>
      </c>
      <c r="F247" s="22">
        <v>31645</v>
      </c>
      <c r="G247" s="1">
        <v>1</v>
      </c>
      <c r="H247" s="1" t="s">
        <v>29</v>
      </c>
      <c r="I247" s="1">
        <v>0</v>
      </c>
      <c r="J247" s="1"/>
      <c r="K247" s="24">
        <v>40000</v>
      </c>
      <c r="L247" s="1" t="s">
        <v>108</v>
      </c>
      <c r="M247" s="3" t="s">
        <v>41</v>
      </c>
      <c r="N247">
        <f>IF(AND( Table15[[#This Row],[Salary]] &gt;= 80000, OR(Table15[[#This Row],[Last_performance_rating]] = "C", Table15[[#This Row],[Last_performance_rating]] = "PIP")) =  TRUE, 1, 0)</f>
        <v>0</v>
      </c>
    </row>
    <row r="248" spans="1:14" x14ac:dyDescent="0.25">
      <c r="A248" s="2">
        <v>270554</v>
      </c>
      <c r="B248" s="22">
        <v>21712</v>
      </c>
      <c r="C248" s="1" t="s">
        <v>892</v>
      </c>
      <c r="D248" s="1" t="s">
        <v>893</v>
      </c>
      <c r="E248" s="1" t="s">
        <v>33</v>
      </c>
      <c r="F248" s="22">
        <v>34197</v>
      </c>
      <c r="G248" s="1">
        <v>7</v>
      </c>
      <c r="H248" s="1" t="s">
        <v>29</v>
      </c>
      <c r="I248" s="1">
        <v>0</v>
      </c>
      <c r="J248" s="1"/>
      <c r="K248" s="24">
        <v>40000</v>
      </c>
      <c r="L248" s="1" t="s">
        <v>61</v>
      </c>
      <c r="M248" s="3" t="s">
        <v>41</v>
      </c>
      <c r="N248">
        <f>IF(AND( Table15[[#This Row],[Salary]] &gt;= 80000, OR(Table15[[#This Row],[Last_performance_rating]] = "C", Table15[[#This Row],[Last_performance_rating]] = "PIP")) =  TRUE, 1, 0)</f>
        <v>0</v>
      </c>
    </row>
    <row r="249" spans="1:14" x14ac:dyDescent="0.25">
      <c r="A249" s="2">
        <v>10148</v>
      </c>
      <c r="B249" s="22">
        <v>21097</v>
      </c>
      <c r="C249" s="1" t="s">
        <v>896</v>
      </c>
      <c r="D249" s="1" t="s">
        <v>897</v>
      </c>
      <c r="E249" s="1" t="s">
        <v>13</v>
      </c>
      <c r="F249" s="22">
        <v>34982</v>
      </c>
      <c r="G249" s="1">
        <v>1</v>
      </c>
      <c r="H249" s="1" t="s">
        <v>35</v>
      </c>
      <c r="I249" s="1">
        <v>0</v>
      </c>
      <c r="J249" s="1"/>
      <c r="K249" s="24">
        <v>63021</v>
      </c>
      <c r="L249" s="1" t="s">
        <v>40</v>
      </c>
      <c r="M249" s="3" t="s">
        <v>41</v>
      </c>
      <c r="N249">
        <f>IF(AND( Table15[[#This Row],[Salary]] &gt;= 80000, OR(Table15[[#This Row],[Last_performance_rating]] = "C", Table15[[#This Row],[Last_performance_rating]] = "PIP")) =  TRUE, 1, 0)</f>
        <v>0</v>
      </c>
    </row>
    <row r="250" spans="1:14" x14ac:dyDescent="0.25">
      <c r="A250" s="2">
        <v>10149</v>
      </c>
      <c r="B250" s="22">
        <v>19499</v>
      </c>
      <c r="C250" s="1" t="s">
        <v>900</v>
      </c>
      <c r="D250" s="1" t="s">
        <v>163</v>
      </c>
      <c r="E250" s="1" t="s">
        <v>33</v>
      </c>
      <c r="F250" s="22">
        <v>31721</v>
      </c>
      <c r="G250" s="1">
        <v>7</v>
      </c>
      <c r="H250" s="1" t="s">
        <v>35</v>
      </c>
      <c r="I250" s="1">
        <v>0</v>
      </c>
      <c r="J250" s="1"/>
      <c r="K250" s="24">
        <v>88740</v>
      </c>
      <c r="L250" s="1" t="s">
        <v>40</v>
      </c>
      <c r="M250" s="3" t="s">
        <v>41</v>
      </c>
      <c r="N250">
        <f>IF(AND( Table15[[#This Row],[Salary]] &gt;= 80000, OR(Table15[[#This Row],[Last_performance_rating]] = "C", Table15[[#This Row],[Last_performance_rating]] = "PIP")) =  TRUE, 1, 0)</f>
        <v>0</v>
      </c>
    </row>
    <row r="251" spans="1:14" x14ac:dyDescent="0.25">
      <c r="A251" s="2">
        <v>37601</v>
      </c>
      <c r="B251" s="22">
        <v>22994</v>
      </c>
      <c r="C251" s="1" t="s">
        <v>903</v>
      </c>
      <c r="D251" s="1" t="s">
        <v>904</v>
      </c>
      <c r="E251" s="1" t="s">
        <v>13</v>
      </c>
      <c r="F251" s="22">
        <v>33866</v>
      </c>
      <c r="G251" s="1">
        <v>1</v>
      </c>
      <c r="H251" s="1" t="s">
        <v>29</v>
      </c>
      <c r="I251" s="1">
        <v>0</v>
      </c>
      <c r="J251" s="1"/>
      <c r="K251" s="24">
        <v>58896</v>
      </c>
      <c r="L251" s="1" t="s">
        <v>40</v>
      </c>
      <c r="M251" s="3" t="s">
        <v>41</v>
      </c>
      <c r="N251">
        <f>IF(AND( Table15[[#This Row],[Salary]] &gt;= 80000, OR(Table15[[#This Row],[Last_performance_rating]] = "C", Table15[[#This Row],[Last_performance_rating]] = "PIP")) =  TRUE, 1, 0)</f>
        <v>0</v>
      </c>
    </row>
    <row r="252" spans="1:14" x14ac:dyDescent="0.25">
      <c r="A252" s="2">
        <v>10150</v>
      </c>
      <c r="B252" s="22">
        <v>20118</v>
      </c>
      <c r="C252" s="1" t="s">
        <v>907</v>
      </c>
      <c r="D252" s="1" t="s">
        <v>908</v>
      </c>
      <c r="E252" s="1" t="s">
        <v>33</v>
      </c>
      <c r="F252" s="22">
        <v>31732</v>
      </c>
      <c r="G252" s="1">
        <v>6</v>
      </c>
      <c r="H252" s="1" t="s">
        <v>29</v>
      </c>
      <c r="I252" s="1">
        <v>0</v>
      </c>
      <c r="J252" s="1"/>
      <c r="K252" s="24">
        <v>70122</v>
      </c>
      <c r="L252" s="1" t="s">
        <v>17</v>
      </c>
      <c r="M252" s="3" t="s">
        <v>18</v>
      </c>
      <c r="N252">
        <f>IF(AND( Table15[[#This Row],[Salary]] &gt;= 80000, OR(Table15[[#This Row],[Last_performance_rating]] = "C", Table15[[#This Row],[Last_performance_rating]] = "PIP")) =  TRUE, 1, 0)</f>
        <v>0</v>
      </c>
    </row>
    <row r="253" spans="1:14" x14ac:dyDescent="0.25">
      <c r="A253" s="2">
        <v>10151</v>
      </c>
      <c r="B253" s="22">
        <v>21615</v>
      </c>
      <c r="C253" s="1" t="s">
        <v>911</v>
      </c>
      <c r="D253" s="1" t="s">
        <v>912</v>
      </c>
      <c r="E253" s="1" t="s">
        <v>13</v>
      </c>
      <c r="F253" s="22">
        <v>32973</v>
      </c>
      <c r="G253" s="1">
        <v>7</v>
      </c>
      <c r="H253" s="1" t="s">
        <v>15</v>
      </c>
      <c r="I253" s="1">
        <v>0</v>
      </c>
      <c r="J253" s="1"/>
      <c r="K253" s="24">
        <v>90741</v>
      </c>
      <c r="L253" s="1" t="s">
        <v>40</v>
      </c>
      <c r="M253" s="3" t="s">
        <v>41</v>
      </c>
      <c r="N253">
        <f>IF(AND( Table15[[#This Row],[Salary]] &gt;= 80000, OR(Table15[[#This Row],[Last_performance_rating]] = "C", Table15[[#This Row],[Last_performance_rating]] = "PIP")) =  TRUE, 1, 0)</f>
        <v>1</v>
      </c>
    </row>
    <row r="254" spans="1:14" x14ac:dyDescent="0.25">
      <c r="A254" s="2">
        <v>437985</v>
      </c>
      <c r="B254" s="22">
        <v>19887</v>
      </c>
      <c r="C254" s="1" t="s">
        <v>443</v>
      </c>
      <c r="D254" s="1" t="s">
        <v>915</v>
      </c>
      <c r="E254" s="1" t="s">
        <v>13</v>
      </c>
      <c r="F254" s="22">
        <v>31515</v>
      </c>
      <c r="G254" s="1">
        <v>4</v>
      </c>
      <c r="H254" s="1" t="s">
        <v>35</v>
      </c>
      <c r="I254" s="1">
        <v>0</v>
      </c>
      <c r="J254" s="1"/>
      <c r="K254" s="24">
        <v>53517</v>
      </c>
      <c r="L254" s="1" t="s">
        <v>40</v>
      </c>
      <c r="M254" s="3" t="s">
        <v>41</v>
      </c>
      <c r="N254">
        <f>IF(AND( Table15[[#This Row],[Salary]] &gt;= 80000, OR(Table15[[#This Row],[Last_performance_rating]] = "C", Table15[[#This Row],[Last_performance_rating]] = "PIP")) =  TRUE, 1, 0)</f>
        <v>0</v>
      </c>
    </row>
    <row r="255" spans="1:14" x14ac:dyDescent="0.25">
      <c r="A255" s="2">
        <v>10152</v>
      </c>
      <c r="B255" s="22">
        <v>20059</v>
      </c>
      <c r="C255" s="1" t="s">
        <v>918</v>
      </c>
      <c r="D255" s="1" t="s">
        <v>919</v>
      </c>
      <c r="E255" s="1" t="s">
        <v>33</v>
      </c>
      <c r="F255" s="22">
        <v>31439</v>
      </c>
      <c r="G255" s="1">
        <v>10</v>
      </c>
      <c r="H255" s="1" t="s">
        <v>15</v>
      </c>
      <c r="I255" s="1">
        <v>0</v>
      </c>
      <c r="J255" s="1"/>
      <c r="K255" s="24">
        <v>40000</v>
      </c>
      <c r="L255" s="1" t="s">
        <v>71</v>
      </c>
      <c r="M255" s="3" t="s">
        <v>55</v>
      </c>
      <c r="N255">
        <f>IF(AND( Table15[[#This Row],[Salary]] &gt;= 80000, OR(Table15[[#This Row],[Last_performance_rating]] = "C", Table15[[#This Row],[Last_performance_rating]] = "PIP")) =  TRUE, 1, 0)</f>
        <v>0</v>
      </c>
    </row>
    <row r="256" spans="1:14" x14ac:dyDescent="0.25">
      <c r="A256" s="2">
        <v>10153</v>
      </c>
      <c r="B256" s="22">
        <v>20438</v>
      </c>
      <c r="C256" s="1" t="s">
        <v>922</v>
      </c>
      <c r="D256" s="1" t="s">
        <v>923</v>
      </c>
      <c r="E256" s="1" t="s">
        <v>13</v>
      </c>
      <c r="F256" s="22">
        <v>31875</v>
      </c>
      <c r="G256" s="1">
        <v>3</v>
      </c>
      <c r="H256" s="1" t="s">
        <v>29</v>
      </c>
      <c r="I256" s="1">
        <v>0</v>
      </c>
      <c r="J256" s="1"/>
      <c r="K256" s="24">
        <v>54246</v>
      </c>
      <c r="L256" s="1" t="s">
        <v>17</v>
      </c>
      <c r="M256" s="3" t="s">
        <v>66</v>
      </c>
      <c r="N256">
        <f>IF(AND( Table15[[#This Row],[Salary]] &gt;= 80000, OR(Table15[[#This Row],[Last_performance_rating]] = "C", Table15[[#This Row],[Last_performance_rating]] = "PIP")) =  TRUE, 1, 0)</f>
        <v>0</v>
      </c>
    </row>
    <row r="257" spans="1:14" x14ac:dyDescent="0.25">
      <c r="A257" s="2">
        <v>14097</v>
      </c>
      <c r="B257" s="22">
        <v>23088</v>
      </c>
      <c r="C257" s="1" t="s">
        <v>926</v>
      </c>
      <c r="D257" s="1" t="s">
        <v>927</v>
      </c>
      <c r="E257" s="1" t="s">
        <v>13</v>
      </c>
      <c r="F257" s="22">
        <v>33211</v>
      </c>
      <c r="G257" s="1">
        <v>6</v>
      </c>
      <c r="H257" s="1" t="s">
        <v>15</v>
      </c>
      <c r="I257" s="1">
        <v>0</v>
      </c>
      <c r="J257" s="1"/>
      <c r="K257" s="24">
        <v>70604</v>
      </c>
      <c r="L257" s="1" t="s">
        <v>108</v>
      </c>
      <c r="M257" s="3" t="s">
        <v>41</v>
      </c>
      <c r="N257">
        <f>IF(AND( Table15[[#This Row],[Salary]] &gt;= 80000, OR(Table15[[#This Row],[Last_performance_rating]] = "C", Table15[[#This Row],[Last_performance_rating]] = "PIP")) =  TRUE, 1, 0)</f>
        <v>0</v>
      </c>
    </row>
    <row r="258" spans="1:14" x14ac:dyDescent="0.25">
      <c r="A258" s="2">
        <v>10154</v>
      </c>
      <c r="B258" s="22">
        <v>20837</v>
      </c>
      <c r="C258" s="1" t="s">
        <v>148</v>
      </c>
      <c r="D258" s="1" t="s">
        <v>930</v>
      </c>
      <c r="E258" s="1" t="s">
        <v>33</v>
      </c>
      <c r="F258" s="22">
        <v>33219</v>
      </c>
      <c r="G258" s="1">
        <v>5</v>
      </c>
      <c r="H258" s="1" t="s">
        <v>15</v>
      </c>
      <c r="I258" s="1">
        <v>0</v>
      </c>
      <c r="J258" s="1"/>
      <c r="K258" s="24">
        <v>40000</v>
      </c>
      <c r="L258" s="1" t="s">
        <v>89</v>
      </c>
      <c r="M258" s="3" t="s">
        <v>41</v>
      </c>
      <c r="N258">
        <f>IF(AND( Table15[[#This Row],[Salary]] &gt;= 80000, OR(Table15[[#This Row],[Last_performance_rating]] = "C", Table15[[#This Row],[Last_performance_rating]] = "PIP")) =  TRUE, 1, 0)</f>
        <v>0</v>
      </c>
    </row>
    <row r="259" spans="1:14" x14ac:dyDescent="0.25">
      <c r="A259" s="2">
        <v>10155</v>
      </c>
      <c r="B259" s="22">
        <v>21891</v>
      </c>
      <c r="C259" s="1" t="s">
        <v>933</v>
      </c>
      <c r="D259" s="1" t="s">
        <v>934</v>
      </c>
      <c r="E259" s="1" t="s">
        <v>13</v>
      </c>
      <c r="F259" s="22">
        <v>32878</v>
      </c>
      <c r="G259" s="1">
        <v>7</v>
      </c>
      <c r="H259" s="1" t="s">
        <v>138</v>
      </c>
      <c r="I259" s="1">
        <v>0</v>
      </c>
      <c r="J259" s="1"/>
      <c r="K259" s="24">
        <v>40040</v>
      </c>
      <c r="L259" s="1" t="s">
        <v>24</v>
      </c>
      <c r="M259" s="3" t="s">
        <v>41</v>
      </c>
      <c r="N259">
        <f>IF(AND( Table15[[#This Row],[Salary]] &gt;= 80000, OR(Table15[[#This Row],[Last_performance_rating]] = "C", Table15[[#This Row],[Last_performance_rating]] = "PIP")) =  TRUE, 1, 0)</f>
        <v>0</v>
      </c>
    </row>
    <row r="260" spans="1:14" x14ac:dyDescent="0.25">
      <c r="A260" s="2">
        <v>10155</v>
      </c>
      <c r="B260" s="22">
        <v>21891</v>
      </c>
      <c r="C260" s="1" t="s">
        <v>933</v>
      </c>
      <c r="D260" s="1" t="s">
        <v>934</v>
      </c>
      <c r="E260" s="1" t="s">
        <v>13</v>
      </c>
      <c r="F260" s="22">
        <v>32878</v>
      </c>
      <c r="G260" s="1">
        <v>7</v>
      </c>
      <c r="H260" s="1" t="s">
        <v>138</v>
      </c>
      <c r="I260" s="1">
        <v>0</v>
      </c>
      <c r="J260" s="1"/>
      <c r="K260" s="24">
        <v>40040</v>
      </c>
      <c r="L260" s="1" t="s">
        <v>61</v>
      </c>
      <c r="M260" s="3" t="s">
        <v>41</v>
      </c>
      <c r="N260">
        <f>IF(AND( Table15[[#This Row],[Salary]] &gt;= 80000, OR(Table15[[#This Row],[Last_performance_rating]] = "C", Table15[[#This Row],[Last_performance_rating]] = "PIP")) =  TRUE, 1, 0)</f>
        <v>0</v>
      </c>
    </row>
    <row r="261" spans="1:14" x14ac:dyDescent="0.25">
      <c r="A261" s="2">
        <v>221689</v>
      </c>
      <c r="B261" s="22">
        <v>21949</v>
      </c>
      <c r="C261" s="1" t="s">
        <v>937</v>
      </c>
      <c r="D261" s="1" t="s">
        <v>938</v>
      </c>
      <c r="E261" s="1" t="s">
        <v>33</v>
      </c>
      <c r="F261" s="22">
        <v>31778</v>
      </c>
      <c r="G261" s="1">
        <v>8</v>
      </c>
      <c r="H261" s="1" t="s">
        <v>35</v>
      </c>
      <c r="I261" s="1">
        <v>0</v>
      </c>
      <c r="J261" s="1"/>
      <c r="K261" s="24">
        <v>67589</v>
      </c>
      <c r="L261" s="1" t="s">
        <v>17</v>
      </c>
      <c r="M261" s="3" t="s">
        <v>18</v>
      </c>
      <c r="N261">
        <f>IF(AND( Table15[[#This Row],[Salary]] &gt;= 80000, OR(Table15[[#This Row],[Last_performance_rating]] = "C", Table15[[#This Row],[Last_performance_rating]] = "PIP")) =  TRUE, 1, 0)</f>
        <v>0</v>
      </c>
    </row>
    <row r="262" spans="1:14" x14ac:dyDescent="0.25">
      <c r="A262" s="2">
        <v>10156</v>
      </c>
      <c r="B262" s="22">
        <v>23639</v>
      </c>
      <c r="C262" s="1" t="s">
        <v>940</v>
      </c>
      <c r="D262" s="1" t="s">
        <v>941</v>
      </c>
      <c r="E262" s="1" t="s">
        <v>13</v>
      </c>
      <c r="F262" s="22">
        <v>31116</v>
      </c>
      <c r="G262" s="1">
        <v>5</v>
      </c>
      <c r="H262" s="1" t="s">
        <v>35</v>
      </c>
      <c r="I262" s="1">
        <v>0</v>
      </c>
      <c r="J262" s="1"/>
      <c r="K262" s="24">
        <v>49879</v>
      </c>
      <c r="L262" s="1" t="s">
        <v>71</v>
      </c>
      <c r="M262" s="3" t="s">
        <v>18</v>
      </c>
      <c r="N262">
        <f>IF(AND( Table15[[#This Row],[Salary]] &gt;= 80000, OR(Table15[[#This Row],[Last_performance_rating]] = "C", Table15[[#This Row],[Last_performance_rating]] = "PIP")) =  TRUE, 1, 0)</f>
        <v>0</v>
      </c>
    </row>
    <row r="263" spans="1:14" x14ac:dyDescent="0.25">
      <c r="A263" s="2">
        <v>62117</v>
      </c>
      <c r="B263" s="22">
        <v>23553</v>
      </c>
      <c r="C263" s="1" t="s">
        <v>167</v>
      </c>
      <c r="D263" s="1" t="s">
        <v>943</v>
      </c>
      <c r="E263" s="1" t="s">
        <v>33</v>
      </c>
      <c r="F263" s="22">
        <v>34495</v>
      </c>
      <c r="G263" s="1">
        <v>7</v>
      </c>
      <c r="H263" s="1" t="s">
        <v>35</v>
      </c>
      <c r="I263" s="1">
        <v>0</v>
      </c>
      <c r="J263" s="1"/>
      <c r="K263" s="24">
        <v>40000</v>
      </c>
      <c r="L263" s="1" t="s">
        <v>17</v>
      </c>
      <c r="M263" s="3" t="s">
        <v>18</v>
      </c>
      <c r="N263">
        <f>IF(AND( Table15[[#This Row],[Salary]] &gt;= 80000, OR(Table15[[#This Row],[Last_performance_rating]] = "C", Table15[[#This Row],[Last_performance_rating]] = "PIP")) =  TRUE, 1, 0)</f>
        <v>0</v>
      </c>
    </row>
    <row r="264" spans="1:14" x14ac:dyDescent="0.25">
      <c r="A264" s="2">
        <v>10157</v>
      </c>
      <c r="B264" s="22">
        <v>19837</v>
      </c>
      <c r="C264" s="1" t="s">
        <v>946</v>
      </c>
      <c r="D264" s="1" t="s">
        <v>947</v>
      </c>
      <c r="E264" s="1" t="s">
        <v>13</v>
      </c>
      <c r="F264" s="22">
        <v>31353</v>
      </c>
      <c r="G264" s="1">
        <v>8</v>
      </c>
      <c r="H264" s="1" t="s">
        <v>15</v>
      </c>
      <c r="I264" s="1">
        <v>0</v>
      </c>
      <c r="J264" s="1"/>
      <c r="K264" s="24">
        <v>48770</v>
      </c>
      <c r="L264" s="1" t="s">
        <v>17</v>
      </c>
      <c r="M264" s="3" t="s">
        <v>18</v>
      </c>
      <c r="N264">
        <f>IF(AND( Table15[[#This Row],[Salary]] &gt;= 80000, OR(Table15[[#This Row],[Last_performance_rating]] = "C", Table15[[#This Row],[Last_performance_rating]] = "PIP")) =  TRUE, 1, 0)</f>
        <v>0</v>
      </c>
    </row>
    <row r="265" spans="1:14" x14ac:dyDescent="0.25">
      <c r="A265" s="2">
        <v>10158</v>
      </c>
      <c r="B265" s="22">
        <v>21276</v>
      </c>
      <c r="C265" s="1" t="s">
        <v>950</v>
      </c>
      <c r="D265" s="1" t="s">
        <v>951</v>
      </c>
      <c r="E265" s="1" t="s">
        <v>13</v>
      </c>
      <c r="F265" s="22">
        <v>31441</v>
      </c>
      <c r="G265" s="1">
        <v>10</v>
      </c>
      <c r="H265" s="1" t="s">
        <v>29</v>
      </c>
      <c r="I265" s="1">
        <v>1</v>
      </c>
      <c r="J265" s="22">
        <v>32258</v>
      </c>
      <c r="K265" s="24">
        <v>40725</v>
      </c>
      <c r="L265" s="1" t="s">
        <v>24</v>
      </c>
      <c r="M265" s="3" t="s">
        <v>18</v>
      </c>
      <c r="N265">
        <f>IF(AND( Table15[[#This Row],[Salary]] &gt;= 80000, OR(Table15[[#This Row],[Last_performance_rating]] = "C", Table15[[#This Row],[Last_performance_rating]] = "PIP")) =  TRUE, 1, 0)</f>
        <v>0</v>
      </c>
    </row>
    <row r="266" spans="1:14" x14ac:dyDescent="0.25">
      <c r="A266" s="2">
        <v>213813</v>
      </c>
      <c r="B266" s="22">
        <v>20281</v>
      </c>
      <c r="C266" s="1" t="s">
        <v>955</v>
      </c>
      <c r="D266" s="1" t="s">
        <v>956</v>
      </c>
      <c r="E266" s="1" t="s">
        <v>13</v>
      </c>
      <c r="F266" s="22">
        <v>32515</v>
      </c>
      <c r="G266" s="1">
        <v>10</v>
      </c>
      <c r="H266" s="1" t="s">
        <v>35</v>
      </c>
      <c r="I266" s="1">
        <v>0</v>
      </c>
      <c r="J266" s="1"/>
      <c r="K266" s="24">
        <v>51196</v>
      </c>
      <c r="L266" s="1" t="s">
        <v>108</v>
      </c>
      <c r="M266" s="3" t="s">
        <v>41</v>
      </c>
      <c r="N266">
        <f>IF(AND( Table15[[#This Row],[Salary]] &gt;= 80000, OR(Table15[[#This Row],[Last_performance_rating]] = "C", Table15[[#This Row],[Last_performance_rating]] = "PIP")) =  TRUE, 1, 0)</f>
        <v>0</v>
      </c>
    </row>
    <row r="267" spans="1:14" x14ac:dyDescent="0.25">
      <c r="A267" s="2">
        <v>10159</v>
      </c>
      <c r="B267" s="22">
        <v>20151</v>
      </c>
      <c r="C267" s="1" t="s">
        <v>959</v>
      </c>
      <c r="D267" s="1" t="s">
        <v>960</v>
      </c>
      <c r="E267" s="1" t="s">
        <v>13</v>
      </c>
      <c r="F267" s="22">
        <v>33387</v>
      </c>
      <c r="G267" s="1">
        <v>5</v>
      </c>
      <c r="H267" s="1" t="s">
        <v>35</v>
      </c>
      <c r="I267" s="1">
        <v>0</v>
      </c>
      <c r="J267" s="1"/>
      <c r="K267" s="24">
        <v>52881</v>
      </c>
      <c r="L267" s="1" t="s">
        <v>71</v>
      </c>
      <c r="M267" s="3" t="s">
        <v>18</v>
      </c>
      <c r="N267">
        <f>IF(AND( Table15[[#This Row],[Salary]] &gt;= 80000, OR(Table15[[#This Row],[Last_performance_rating]] = "C", Table15[[#This Row],[Last_performance_rating]] = "PIP")) =  TRUE, 1, 0)</f>
        <v>0</v>
      </c>
    </row>
    <row r="268" spans="1:14" x14ac:dyDescent="0.25">
      <c r="A268" s="2">
        <v>10160</v>
      </c>
      <c r="B268" s="22">
        <v>19650</v>
      </c>
      <c r="C268" s="1" t="s">
        <v>963</v>
      </c>
      <c r="D268" s="1" t="s">
        <v>964</v>
      </c>
      <c r="E268" s="1" t="s">
        <v>13</v>
      </c>
      <c r="F268" s="22">
        <v>32538</v>
      </c>
      <c r="G268" s="1">
        <v>5</v>
      </c>
      <c r="H268" s="1" t="s">
        <v>15</v>
      </c>
      <c r="I268" s="1">
        <v>0</v>
      </c>
      <c r="J268" s="1"/>
      <c r="K268" s="24">
        <v>91622</v>
      </c>
      <c r="L268" s="1" t="s">
        <v>40</v>
      </c>
      <c r="M268" s="3" t="s">
        <v>41</v>
      </c>
      <c r="N268">
        <f>IF(AND( Table15[[#This Row],[Salary]] &gt;= 80000, OR(Table15[[#This Row],[Last_performance_rating]] = "C", Table15[[#This Row],[Last_performance_rating]] = "PIP")) =  TRUE, 1, 0)</f>
        <v>1</v>
      </c>
    </row>
    <row r="269" spans="1:14" x14ac:dyDescent="0.25">
      <c r="A269" s="2">
        <v>28823</v>
      </c>
      <c r="B269" s="22">
        <v>21457</v>
      </c>
      <c r="C269" s="1" t="s">
        <v>967</v>
      </c>
      <c r="D269" s="1" t="s">
        <v>968</v>
      </c>
      <c r="E269" s="1" t="s">
        <v>13</v>
      </c>
      <c r="F269" s="22">
        <v>32314</v>
      </c>
      <c r="G269" s="1">
        <v>2</v>
      </c>
      <c r="H269" s="1" t="s">
        <v>35</v>
      </c>
      <c r="I269" s="1">
        <v>0</v>
      </c>
      <c r="J269" s="1"/>
      <c r="K269" s="24">
        <v>62549</v>
      </c>
      <c r="L269" s="1" t="s">
        <v>40</v>
      </c>
      <c r="M269" s="3" t="s">
        <v>41</v>
      </c>
      <c r="N269">
        <f>IF(AND( Table15[[#This Row],[Salary]] &gt;= 80000, OR(Table15[[#This Row],[Last_performance_rating]] = "C", Table15[[#This Row],[Last_performance_rating]] = "PIP")) =  TRUE, 1, 0)</f>
        <v>0</v>
      </c>
    </row>
    <row r="270" spans="1:14" x14ac:dyDescent="0.25">
      <c r="A270" s="2">
        <v>10161</v>
      </c>
      <c r="B270" s="22">
        <v>19455</v>
      </c>
      <c r="C270" s="1" t="s">
        <v>381</v>
      </c>
      <c r="D270" s="1" t="s">
        <v>971</v>
      </c>
      <c r="E270" s="1" t="s">
        <v>33</v>
      </c>
      <c r="F270" s="22">
        <v>32236</v>
      </c>
      <c r="G270" s="1">
        <v>4</v>
      </c>
      <c r="H270" s="1" t="s">
        <v>29</v>
      </c>
      <c r="I270" s="1">
        <v>0</v>
      </c>
      <c r="J270" s="1"/>
      <c r="K270" s="24">
        <v>43149</v>
      </c>
      <c r="L270" s="1" t="s">
        <v>24</v>
      </c>
      <c r="M270" s="3" t="s">
        <v>55</v>
      </c>
      <c r="N270">
        <f>IF(AND( Table15[[#This Row],[Salary]] &gt;= 80000, OR(Table15[[#This Row],[Last_performance_rating]] = "C", Table15[[#This Row],[Last_performance_rating]] = "PIP")) =  TRUE, 1, 0)</f>
        <v>0</v>
      </c>
    </row>
    <row r="271" spans="1:14" x14ac:dyDescent="0.25">
      <c r="A271" s="2">
        <v>10162</v>
      </c>
      <c r="B271" s="22">
        <v>21098</v>
      </c>
      <c r="C271" s="1" t="s">
        <v>974</v>
      </c>
      <c r="D271" s="1" t="s">
        <v>551</v>
      </c>
      <c r="E271" s="1" t="s">
        <v>13</v>
      </c>
      <c r="F271" s="22">
        <v>33359</v>
      </c>
      <c r="G271" s="1">
        <v>1</v>
      </c>
      <c r="H271" s="1" t="s">
        <v>15</v>
      </c>
      <c r="I271" s="1">
        <v>0</v>
      </c>
      <c r="J271" s="1"/>
      <c r="K271" s="24">
        <v>40000</v>
      </c>
      <c r="L271" s="1" t="s">
        <v>24</v>
      </c>
      <c r="M271" s="3" t="s">
        <v>55</v>
      </c>
      <c r="N271">
        <f>IF(AND( Table15[[#This Row],[Salary]] &gt;= 80000, OR(Table15[[#This Row],[Last_performance_rating]] = "C", Table15[[#This Row],[Last_performance_rating]] = "PIP")) =  TRUE, 1, 0)</f>
        <v>0</v>
      </c>
    </row>
    <row r="272" spans="1:14" x14ac:dyDescent="0.25">
      <c r="A272" s="2">
        <v>284330</v>
      </c>
      <c r="B272" s="22">
        <v>19819</v>
      </c>
      <c r="C272" s="1" t="s">
        <v>977</v>
      </c>
      <c r="D272" s="1" t="s">
        <v>978</v>
      </c>
      <c r="E272" s="1" t="s">
        <v>33</v>
      </c>
      <c r="F272" s="22">
        <v>35338</v>
      </c>
      <c r="G272" s="1">
        <v>5</v>
      </c>
      <c r="H272" s="1" t="s">
        <v>29</v>
      </c>
      <c r="I272" s="1">
        <v>0</v>
      </c>
      <c r="J272" s="1"/>
      <c r="K272" s="24">
        <v>43654</v>
      </c>
      <c r="L272" s="1" t="s">
        <v>24</v>
      </c>
      <c r="M272" s="3" t="s">
        <v>55</v>
      </c>
      <c r="N272">
        <f>IF(AND( Table15[[#This Row],[Salary]] &gt;= 80000, OR(Table15[[#This Row],[Last_performance_rating]] = "C", Table15[[#This Row],[Last_performance_rating]] = "PIP")) =  TRUE, 1, 0)</f>
        <v>0</v>
      </c>
    </row>
    <row r="273" spans="1:14" x14ac:dyDescent="0.25">
      <c r="A273" s="2">
        <v>10163</v>
      </c>
      <c r="B273" s="22">
        <v>19254</v>
      </c>
      <c r="C273" s="1" t="s">
        <v>214</v>
      </c>
      <c r="D273" s="1" t="s">
        <v>981</v>
      </c>
      <c r="E273" s="1" t="s">
        <v>13</v>
      </c>
      <c r="F273" s="22">
        <v>32708</v>
      </c>
      <c r="G273" s="1">
        <v>3</v>
      </c>
      <c r="H273" s="1" t="s">
        <v>15</v>
      </c>
      <c r="I273" s="1">
        <v>0</v>
      </c>
      <c r="J273" s="1"/>
      <c r="K273" s="24">
        <v>41603</v>
      </c>
      <c r="L273" s="1" t="s">
        <v>46</v>
      </c>
      <c r="M273" s="3" t="s">
        <v>102</v>
      </c>
      <c r="N273">
        <f>IF(AND( Table15[[#This Row],[Salary]] &gt;= 80000, OR(Table15[[#This Row],[Last_performance_rating]] = "C", Table15[[#This Row],[Last_performance_rating]] = "PIP")) =  TRUE, 1, 0)</f>
        <v>0</v>
      </c>
    </row>
    <row r="274" spans="1:14" x14ac:dyDescent="0.25">
      <c r="A274" s="2">
        <v>10164</v>
      </c>
      <c r="B274" s="22">
        <v>20473</v>
      </c>
      <c r="C274" s="1" t="s">
        <v>984</v>
      </c>
      <c r="D274" s="1" t="s">
        <v>985</v>
      </c>
      <c r="E274" s="1" t="s">
        <v>13</v>
      </c>
      <c r="F274" s="22">
        <v>31363</v>
      </c>
      <c r="G274" s="1">
        <v>9</v>
      </c>
      <c r="H274" s="1" t="s">
        <v>29</v>
      </c>
      <c r="I274" s="1">
        <v>0</v>
      </c>
      <c r="J274" s="1"/>
      <c r="K274" s="24">
        <v>52043</v>
      </c>
      <c r="L274" s="1" t="s">
        <v>24</v>
      </c>
      <c r="M274" s="3" t="s">
        <v>18</v>
      </c>
      <c r="N274">
        <f>IF(AND( Table15[[#This Row],[Salary]] &gt;= 80000, OR(Table15[[#This Row],[Last_performance_rating]] = "C", Table15[[#This Row],[Last_performance_rating]] = "PIP")) =  TRUE, 1, 0)</f>
        <v>0</v>
      </c>
    </row>
    <row r="275" spans="1:14" x14ac:dyDescent="0.25">
      <c r="A275" s="2">
        <v>10164</v>
      </c>
      <c r="B275" s="22">
        <v>20473</v>
      </c>
      <c r="C275" s="1" t="s">
        <v>984</v>
      </c>
      <c r="D275" s="1" t="s">
        <v>985</v>
      </c>
      <c r="E275" s="1" t="s">
        <v>13</v>
      </c>
      <c r="F275" s="22">
        <v>31363</v>
      </c>
      <c r="G275" s="1">
        <v>9</v>
      </c>
      <c r="H275" s="1" t="s">
        <v>29</v>
      </c>
      <c r="I275" s="1">
        <v>0</v>
      </c>
      <c r="J275" s="1"/>
      <c r="K275" s="24">
        <v>52043</v>
      </c>
      <c r="L275" s="1" t="s">
        <v>89</v>
      </c>
      <c r="M275" s="3" t="s">
        <v>18</v>
      </c>
      <c r="N275">
        <f>IF(AND( Table15[[#This Row],[Salary]] &gt;= 80000, OR(Table15[[#This Row],[Last_performance_rating]] = "C", Table15[[#This Row],[Last_performance_rating]] = "PIP")) =  TRUE, 1, 0)</f>
        <v>0</v>
      </c>
    </row>
    <row r="276" spans="1:14" x14ac:dyDescent="0.25">
      <c r="A276" s="2">
        <v>107258</v>
      </c>
      <c r="B276" s="22">
        <v>19714</v>
      </c>
      <c r="C276" s="1" t="s">
        <v>520</v>
      </c>
      <c r="D276" s="1" t="s">
        <v>988</v>
      </c>
      <c r="E276" s="1" t="s">
        <v>33</v>
      </c>
      <c r="F276" s="22">
        <v>31871</v>
      </c>
      <c r="G276" s="1">
        <v>4</v>
      </c>
      <c r="H276" s="1" t="s">
        <v>29</v>
      </c>
      <c r="I276" s="1">
        <v>0</v>
      </c>
      <c r="J276" s="1"/>
      <c r="K276" s="24">
        <v>87036</v>
      </c>
      <c r="L276" s="1" t="s">
        <v>40</v>
      </c>
      <c r="M276" s="3" t="s">
        <v>41</v>
      </c>
      <c r="N276">
        <f>IF(AND( Table15[[#This Row],[Salary]] &gt;= 80000, OR(Table15[[#This Row],[Last_performance_rating]] = "C", Table15[[#This Row],[Last_performance_rating]] = "PIP")) =  TRUE, 1, 0)</f>
        <v>0</v>
      </c>
    </row>
    <row r="277" spans="1:14" x14ac:dyDescent="0.25">
      <c r="A277" s="2">
        <v>10165</v>
      </c>
      <c r="B277" s="22">
        <v>22083</v>
      </c>
      <c r="C277" s="1" t="s">
        <v>991</v>
      </c>
      <c r="D277" s="1" t="s">
        <v>992</v>
      </c>
      <c r="E277" s="1" t="s">
        <v>13</v>
      </c>
      <c r="F277" s="22">
        <v>32280</v>
      </c>
      <c r="G277" s="1">
        <v>5</v>
      </c>
      <c r="H277" s="1" t="s">
        <v>15</v>
      </c>
      <c r="I277" s="1">
        <v>0</v>
      </c>
      <c r="J277" s="1"/>
      <c r="K277" s="24">
        <v>43991</v>
      </c>
      <c r="L277" s="1" t="s">
        <v>108</v>
      </c>
      <c r="M277" s="3" t="s">
        <v>102</v>
      </c>
      <c r="N277">
        <f>IF(AND( Table15[[#This Row],[Salary]] &gt;= 80000, OR(Table15[[#This Row],[Last_performance_rating]] = "C", Table15[[#This Row],[Last_performance_rating]] = "PIP")) =  TRUE, 1, 0)</f>
        <v>0</v>
      </c>
    </row>
    <row r="278" spans="1:14" x14ac:dyDescent="0.25">
      <c r="A278" s="2">
        <v>209527</v>
      </c>
      <c r="B278" s="22">
        <v>22915</v>
      </c>
      <c r="C278" s="1" t="s">
        <v>995</v>
      </c>
      <c r="D278" s="1" t="s">
        <v>996</v>
      </c>
      <c r="E278" s="1" t="s">
        <v>13</v>
      </c>
      <c r="F278" s="22">
        <v>35825</v>
      </c>
      <c r="G278" s="1">
        <v>1</v>
      </c>
      <c r="H278" s="1" t="s">
        <v>29</v>
      </c>
      <c r="I278" s="1">
        <v>0</v>
      </c>
      <c r="J278" s="1"/>
      <c r="K278" s="24">
        <v>40000</v>
      </c>
      <c r="L278" s="1" t="s">
        <v>89</v>
      </c>
      <c r="M278" s="3" t="s">
        <v>41</v>
      </c>
      <c r="N278">
        <f>IF(AND( Table15[[#This Row],[Salary]] &gt;= 80000, OR(Table15[[#This Row],[Last_performance_rating]] = "C", Table15[[#This Row],[Last_performance_rating]] = "PIP")) =  TRUE, 1, 0)</f>
        <v>0</v>
      </c>
    </row>
    <row r="279" spans="1:14" x14ac:dyDescent="0.25">
      <c r="A279" s="2">
        <v>10166</v>
      </c>
      <c r="B279" s="22">
        <v>19489</v>
      </c>
      <c r="C279" s="1" t="s">
        <v>999</v>
      </c>
      <c r="D279" s="1" t="s">
        <v>1000</v>
      </c>
      <c r="E279" s="1" t="s">
        <v>33</v>
      </c>
      <c r="F279" s="22">
        <v>33970</v>
      </c>
      <c r="G279" s="1">
        <v>9</v>
      </c>
      <c r="H279" s="1" t="s">
        <v>35</v>
      </c>
      <c r="I279" s="1">
        <v>0</v>
      </c>
      <c r="J279" s="1"/>
      <c r="K279" s="24">
        <v>51586</v>
      </c>
      <c r="L279" s="1" t="s">
        <v>17</v>
      </c>
      <c r="M279" s="3" t="s">
        <v>55</v>
      </c>
      <c r="N279">
        <f>IF(AND( Table15[[#This Row],[Salary]] &gt;= 80000, OR(Table15[[#This Row],[Last_performance_rating]] = "C", Table15[[#This Row],[Last_performance_rating]] = "PIP")) =  TRUE, 1, 0)</f>
        <v>0</v>
      </c>
    </row>
    <row r="280" spans="1:14" x14ac:dyDescent="0.25">
      <c r="A280" s="2">
        <v>10167</v>
      </c>
      <c r="B280" s="22">
        <v>21328</v>
      </c>
      <c r="C280" s="1" t="s">
        <v>77</v>
      </c>
      <c r="D280" s="1" t="s">
        <v>1003</v>
      </c>
      <c r="E280" s="1" t="s">
        <v>13</v>
      </c>
      <c r="F280" s="22">
        <v>33698</v>
      </c>
      <c r="G280" s="1">
        <v>5</v>
      </c>
      <c r="H280" s="1" t="s">
        <v>138</v>
      </c>
      <c r="I280" s="1">
        <v>0</v>
      </c>
      <c r="J280" s="1"/>
      <c r="K280" s="24">
        <v>56990</v>
      </c>
      <c r="L280" s="1" t="s">
        <v>24</v>
      </c>
      <c r="M280" s="3" t="s">
        <v>18</v>
      </c>
      <c r="N280">
        <f>IF(AND( Table15[[#This Row],[Salary]] &gt;= 80000, OR(Table15[[#This Row],[Last_performance_rating]] = "C", Table15[[#This Row],[Last_performance_rating]] = "PIP")) =  TRUE, 1, 0)</f>
        <v>0</v>
      </c>
    </row>
    <row r="281" spans="1:14" x14ac:dyDescent="0.25">
      <c r="A281" s="2">
        <v>207774</v>
      </c>
      <c r="B281" s="22">
        <v>19588</v>
      </c>
      <c r="C281" s="1" t="s">
        <v>1006</v>
      </c>
      <c r="D281" s="1" t="s">
        <v>1007</v>
      </c>
      <c r="E281" s="1" t="s">
        <v>13</v>
      </c>
      <c r="F281" s="22">
        <v>32265</v>
      </c>
      <c r="G281" s="1">
        <v>2</v>
      </c>
      <c r="H281" s="1" t="s">
        <v>35</v>
      </c>
      <c r="I281" s="1">
        <v>0</v>
      </c>
      <c r="J281" s="1"/>
      <c r="K281" s="24">
        <v>53722</v>
      </c>
      <c r="L281" s="1" t="s">
        <v>46</v>
      </c>
      <c r="M281" s="3" t="s">
        <v>41</v>
      </c>
      <c r="N281">
        <f>IF(AND( Table15[[#This Row],[Salary]] &gt;= 80000, OR(Table15[[#This Row],[Last_performance_rating]] = "C", Table15[[#This Row],[Last_performance_rating]] = "PIP")) =  TRUE, 1, 0)</f>
        <v>0</v>
      </c>
    </row>
    <row r="282" spans="1:14" x14ac:dyDescent="0.25">
      <c r="A282" s="2">
        <v>10168</v>
      </c>
      <c r="B282" s="22">
        <v>23631</v>
      </c>
      <c r="C282" s="1" t="s">
        <v>1010</v>
      </c>
      <c r="D282" s="1" t="s">
        <v>1011</v>
      </c>
      <c r="E282" s="1" t="s">
        <v>13</v>
      </c>
      <c r="F282" s="22">
        <v>31752</v>
      </c>
      <c r="G282" s="1">
        <v>1</v>
      </c>
      <c r="H282" s="1" t="s">
        <v>15</v>
      </c>
      <c r="I282" s="1">
        <v>0</v>
      </c>
      <c r="J282" s="1"/>
      <c r="K282" s="24">
        <v>51818</v>
      </c>
      <c r="L282" s="1" t="s">
        <v>61</v>
      </c>
      <c r="M282" s="3" t="s">
        <v>41</v>
      </c>
      <c r="N282">
        <f>IF(AND( Table15[[#This Row],[Salary]] &gt;= 80000, OR(Table15[[#This Row],[Last_performance_rating]] = "C", Table15[[#This Row],[Last_performance_rating]] = "PIP")) =  TRUE, 1, 0)</f>
        <v>0</v>
      </c>
    </row>
    <row r="283" spans="1:14" x14ac:dyDescent="0.25">
      <c r="A283" s="2">
        <v>10169</v>
      </c>
      <c r="B283" s="22">
        <v>22404</v>
      </c>
      <c r="C283" s="1" t="s">
        <v>1014</v>
      </c>
      <c r="D283" s="1" t="s">
        <v>1015</v>
      </c>
      <c r="E283" s="1" t="s">
        <v>33</v>
      </c>
      <c r="F283" s="22">
        <v>33809</v>
      </c>
      <c r="G283" s="1">
        <v>6</v>
      </c>
      <c r="H283" s="1" t="s">
        <v>15</v>
      </c>
      <c r="I283" s="1">
        <v>0</v>
      </c>
      <c r="J283" s="1"/>
      <c r="K283" s="24">
        <v>70303</v>
      </c>
      <c r="L283" s="1" t="s">
        <v>17</v>
      </c>
      <c r="M283" s="3" t="s">
        <v>55</v>
      </c>
      <c r="N283">
        <f>IF(AND( Table15[[#This Row],[Salary]] &gt;= 80000, OR(Table15[[#This Row],[Last_performance_rating]] = "C", Table15[[#This Row],[Last_performance_rating]] = "PIP")) =  TRUE, 1, 0)</f>
        <v>0</v>
      </c>
    </row>
    <row r="284" spans="1:14" x14ac:dyDescent="0.25">
      <c r="A284" s="2">
        <v>11980</v>
      </c>
      <c r="B284" s="22">
        <v>20273</v>
      </c>
      <c r="C284" s="1" t="s">
        <v>1018</v>
      </c>
      <c r="D284" s="1" t="s">
        <v>1019</v>
      </c>
      <c r="E284" s="1" t="s">
        <v>13</v>
      </c>
      <c r="F284" s="22">
        <v>33623</v>
      </c>
      <c r="G284" s="1">
        <v>10</v>
      </c>
      <c r="H284" s="1" t="s">
        <v>35</v>
      </c>
      <c r="I284" s="1">
        <v>0</v>
      </c>
      <c r="J284" s="1"/>
      <c r="K284" s="24">
        <v>58241</v>
      </c>
      <c r="L284" s="1" t="s">
        <v>40</v>
      </c>
      <c r="M284" s="3" t="s">
        <v>41</v>
      </c>
      <c r="N284">
        <f>IF(AND( Table15[[#This Row],[Salary]] &gt;= 80000, OR(Table15[[#This Row],[Last_performance_rating]] = "C", Table15[[#This Row],[Last_performance_rating]] = "PIP")) =  TRUE, 1, 0)</f>
        <v>0</v>
      </c>
    </row>
    <row r="285" spans="1:14" x14ac:dyDescent="0.25">
      <c r="A285" s="2">
        <v>10170</v>
      </c>
      <c r="B285" s="22">
        <v>22192</v>
      </c>
      <c r="C285" s="1" t="s">
        <v>1022</v>
      </c>
      <c r="D285" s="1" t="s">
        <v>1023</v>
      </c>
      <c r="E285" s="1" t="s">
        <v>33</v>
      </c>
      <c r="F285" s="22">
        <v>31414</v>
      </c>
      <c r="G285" s="1">
        <v>6</v>
      </c>
      <c r="H285" s="1" t="s">
        <v>15</v>
      </c>
      <c r="I285" s="1">
        <v>0</v>
      </c>
      <c r="J285" s="1"/>
      <c r="K285" s="24">
        <v>47183</v>
      </c>
      <c r="L285" s="1" t="s">
        <v>24</v>
      </c>
      <c r="M285" s="3" t="s">
        <v>55</v>
      </c>
      <c r="N285">
        <f>IF(AND( Table15[[#This Row],[Salary]] &gt;= 80000, OR(Table15[[#This Row],[Last_performance_rating]] = "C", Table15[[#This Row],[Last_performance_rating]] = "PIP")) =  TRUE, 1, 0)</f>
        <v>0</v>
      </c>
    </row>
    <row r="286" spans="1:14" x14ac:dyDescent="0.25">
      <c r="A286" s="2">
        <v>10171</v>
      </c>
      <c r="B286" s="22">
        <v>21074</v>
      </c>
      <c r="C286" s="1" t="s">
        <v>1026</v>
      </c>
      <c r="D286" s="1" t="s">
        <v>1007</v>
      </c>
      <c r="E286" s="1" t="s">
        <v>13</v>
      </c>
      <c r="F286" s="22">
        <v>32711</v>
      </c>
      <c r="G286" s="1">
        <v>2</v>
      </c>
      <c r="H286" s="1" t="s">
        <v>35</v>
      </c>
      <c r="I286" s="1">
        <v>0</v>
      </c>
      <c r="J286" s="1"/>
      <c r="K286" s="24">
        <v>41311</v>
      </c>
      <c r="L286" s="1" t="s">
        <v>24</v>
      </c>
      <c r="M286" s="3" t="s">
        <v>156</v>
      </c>
      <c r="N286">
        <f>IF(AND( Table15[[#This Row],[Salary]] &gt;= 80000, OR(Table15[[#This Row],[Last_performance_rating]] = "C", Table15[[#This Row],[Last_performance_rating]] = "PIP")) =  TRUE, 1, 0)</f>
        <v>0</v>
      </c>
    </row>
    <row r="287" spans="1:14" x14ac:dyDescent="0.25">
      <c r="A287" s="2">
        <v>270258</v>
      </c>
      <c r="B287" s="22">
        <v>19454</v>
      </c>
      <c r="C287" s="1" t="s">
        <v>1029</v>
      </c>
      <c r="D287" s="1" t="s">
        <v>1030</v>
      </c>
      <c r="E287" s="1" t="s">
        <v>13</v>
      </c>
      <c r="F287" s="22">
        <v>34763</v>
      </c>
      <c r="G287" s="1">
        <v>4</v>
      </c>
      <c r="H287" s="1" t="s">
        <v>35</v>
      </c>
      <c r="I287" s="1">
        <v>0</v>
      </c>
      <c r="J287" s="1"/>
      <c r="K287" s="24">
        <v>40000</v>
      </c>
      <c r="L287" s="1" t="s">
        <v>24</v>
      </c>
      <c r="M287" s="3" t="s">
        <v>18</v>
      </c>
      <c r="N287">
        <f>IF(AND( Table15[[#This Row],[Salary]] &gt;= 80000, OR(Table15[[#This Row],[Last_performance_rating]] = "C", Table15[[#This Row],[Last_performance_rating]] = "PIP")) =  TRUE, 1, 0)</f>
        <v>0</v>
      </c>
    </row>
    <row r="288" spans="1:14" x14ac:dyDescent="0.25">
      <c r="A288" s="2">
        <v>10172</v>
      </c>
      <c r="B288" s="22">
        <v>20904</v>
      </c>
      <c r="C288" s="1" t="s">
        <v>512</v>
      </c>
      <c r="D288" s="1" t="s">
        <v>1033</v>
      </c>
      <c r="E288" s="1" t="s">
        <v>33</v>
      </c>
      <c r="F288" s="22">
        <v>34985</v>
      </c>
      <c r="G288" s="1">
        <v>9</v>
      </c>
      <c r="H288" s="1" t="s">
        <v>15</v>
      </c>
      <c r="I288" s="1">
        <v>0</v>
      </c>
      <c r="J288" s="1"/>
      <c r="K288" s="24">
        <v>41197</v>
      </c>
      <c r="L288" s="1" t="s">
        <v>17</v>
      </c>
      <c r="M288" s="3" t="s">
        <v>55</v>
      </c>
      <c r="N288">
        <f>IF(AND( Table15[[#This Row],[Salary]] &gt;= 80000, OR(Table15[[#This Row],[Last_performance_rating]] = "C", Table15[[#This Row],[Last_performance_rating]] = "PIP")) =  TRUE, 1, 0)</f>
        <v>0</v>
      </c>
    </row>
    <row r="289" spans="1:14" x14ac:dyDescent="0.25">
      <c r="A289" s="2">
        <v>10172</v>
      </c>
      <c r="B289" s="22">
        <v>20904</v>
      </c>
      <c r="C289" s="1" t="s">
        <v>512</v>
      </c>
      <c r="D289" s="1" t="s">
        <v>1033</v>
      </c>
      <c r="E289" s="1" t="s">
        <v>33</v>
      </c>
      <c r="F289" s="22">
        <v>34985</v>
      </c>
      <c r="G289" s="1">
        <v>9</v>
      </c>
      <c r="H289" s="1" t="s">
        <v>15</v>
      </c>
      <c r="I289" s="1">
        <v>0</v>
      </c>
      <c r="J289" s="1"/>
      <c r="K289" s="24">
        <v>41197</v>
      </c>
      <c r="L289" s="1" t="s">
        <v>61</v>
      </c>
      <c r="M289" s="3" t="s">
        <v>55</v>
      </c>
      <c r="N289">
        <f>IF(AND( Table15[[#This Row],[Salary]] &gt;= 80000, OR(Table15[[#This Row],[Last_performance_rating]] = "C", Table15[[#This Row],[Last_performance_rating]] = "PIP")) =  TRUE, 1, 0)</f>
        <v>0</v>
      </c>
    </row>
    <row r="290" spans="1:14" x14ac:dyDescent="0.25">
      <c r="A290" s="2">
        <v>10173</v>
      </c>
      <c r="B290" s="22">
        <v>22947</v>
      </c>
      <c r="C290" s="1" t="s">
        <v>1036</v>
      </c>
      <c r="D290" s="1" t="s">
        <v>1037</v>
      </c>
      <c r="E290" s="1" t="s">
        <v>13</v>
      </c>
      <c r="F290" s="22">
        <v>33684</v>
      </c>
      <c r="G290" s="1">
        <v>8</v>
      </c>
      <c r="H290" s="1" t="s">
        <v>138</v>
      </c>
      <c r="I290" s="1">
        <v>0</v>
      </c>
      <c r="J290" s="1"/>
      <c r="K290" s="24">
        <v>85757</v>
      </c>
      <c r="L290" s="1" t="s">
        <v>108</v>
      </c>
      <c r="M290" s="3" t="s">
        <v>41</v>
      </c>
      <c r="N290">
        <f>IF(AND( Table15[[#This Row],[Salary]] &gt;= 80000, OR(Table15[[#This Row],[Last_performance_rating]] = "C", Table15[[#This Row],[Last_performance_rating]] = "PIP")) =  TRUE, 1, 0)</f>
        <v>1</v>
      </c>
    </row>
    <row r="291" spans="1:14" x14ac:dyDescent="0.25">
      <c r="A291" s="2">
        <v>10174</v>
      </c>
      <c r="B291" s="22">
        <v>21685</v>
      </c>
      <c r="C291" s="1" t="s">
        <v>1039</v>
      </c>
      <c r="D291" s="1" t="s">
        <v>1040</v>
      </c>
      <c r="E291" s="1" t="s">
        <v>13</v>
      </c>
      <c r="F291" s="22">
        <v>31929</v>
      </c>
      <c r="G291" s="1">
        <v>6</v>
      </c>
      <c r="H291" s="1" t="s">
        <v>35</v>
      </c>
      <c r="I291" s="1">
        <v>0</v>
      </c>
      <c r="J291" s="1"/>
      <c r="K291" s="24">
        <v>59520</v>
      </c>
      <c r="L291" s="1" t="s">
        <v>24</v>
      </c>
      <c r="M291" s="3" t="s">
        <v>18</v>
      </c>
      <c r="N291">
        <f>IF(AND( Table15[[#This Row],[Salary]] &gt;= 80000, OR(Table15[[#This Row],[Last_performance_rating]] = "C", Table15[[#This Row],[Last_performance_rating]] = "PIP")) =  TRUE, 1, 0)</f>
        <v>0</v>
      </c>
    </row>
    <row r="292" spans="1:14" x14ac:dyDescent="0.25">
      <c r="A292" s="2">
        <v>457800</v>
      </c>
      <c r="B292" s="22">
        <v>23274</v>
      </c>
      <c r="C292" s="1" t="s">
        <v>1043</v>
      </c>
      <c r="D292" s="1" t="s">
        <v>1044</v>
      </c>
      <c r="E292" s="1" t="s">
        <v>13</v>
      </c>
      <c r="F292" s="22">
        <v>31628</v>
      </c>
      <c r="G292" s="1">
        <v>8</v>
      </c>
      <c r="H292" s="1" t="s">
        <v>35</v>
      </c>
      <c r="I292" s="1">
        <v>0</v>
      </c>
      <c r="J292" s="1"/>
      <c r="K292" s="24">
        <v>64014</v>
      </c>
      <c r="L292" s="1" t="s">
        <v>108</v>
      </c>
      <c r="M292" s="3" t="s">
        <v>41</v>
      </c>
      <c r="N292">
        <f>IF(AND( Table15[[#This Row],[Salary]] &gt;= 80000, OR(Table15[[#This Row],[Last_performance_rating]] = "C", Table15[[#This Row],[Last_performance_rating]] = "PIP")) =  TRUE, 1, 0)</f>
        <v>0</v>
      </c>
    </row>
    <row r="293" spans="1:14" x14ac:dyDescent="0.25">
      <c r="A293" s="2">
        <v>457800</v>
      </c>
      <c r="B293" s="22">
        <v>23274</v>
      </c>
      <c r="C293" s="1" t="s">
        <v>1043</v>
      </c>
      <c r="D293" s="1" t="s">
        <v>1044</v>
      </c>
      <c r="E293" s="1" t="s">
        <v>13</v>
      </c>
      <c r="F293" s="22">
        <v>31628</v>
      </c>
      <c r="G293" s="1">
        <v>8</v>
      </c>
      <c r="H293" s="1" t="s">
        <v>35</v>
      </c>
      <c r="I293" s="1">
        <v>0</v>
      </c>
      <c r="J293" s="1"/>
      <c r="K293" s="24">
        <v>64014</v>
      </c>
      <c r="L293" s="1" t="s">
        <v>40</v>
      </c>
      <c r="M293" s="3" t="s">
        <v>41</v>
      </c>
      <c r="N293">
        <f>IF(AND( Table15[[#This Row],[Salary]] &gt;= 80000, OR(Table15[[#This Row],[Last_performance_rating]] = "C", Table15[[#This Row],[Last_performance_rating]] = "PIP")) =  TRUE, 1, 0)</f>
        <v>0</v>
      </c>
    </row>
    <row r="294" spans="1:14" x14ac:dyDescent="0.25">
      <c r="A294" s="2">
        <v>10175</v>
      </c>
      <c r="B294" s="22">
        <v>21926</v>
      </c>
      <c r="C294" s="1" t="s">
        <v>1046</v>
      </c>
      <c r="D294" s="1" t="s">
        <v>1047</v>
      </c>
      <c r="E294" s="1" t="s">
        <v>33</v>
      </c>
      <c r="F294" s="22">
        <v>32153</v>
      </c>
      <c r="G294" s="1">
        <v>7</v>
      </c>
      <c r="H294" s="1" t="s">
        <v>29</v>
      </c>
      <c r="I294" s="1">
        <v>0</v>
      </c>
      <c r="J294" s="1"/>
      <c r="K294" s="24">
        <v>72285</v>
      </c>
      <c r="L294" s="1" t="s">
        <v>125</v>
      </c>
      <c r="M294" s="3" t="s">
        <v>41</v>
      </c>
      <c r="N294">
        <f>IF(AND( Table15[[#This Row],[Salary]] &gt;= 80000, OR(Table15[[#This Row],[Last_performance_rating]] = "C", Table15[[#This Row],[Last_performance_rating]] = "PIP")) =  TRUE, 1, 0)</f>
        <v>0</v>
      </c>
    </row>
    <row r="295" spans="1:14" x14ac:dyDescent="0.25">
      <c r="A295" s="2">
        <v>10176</v>
      </c>
      <c r="B295" s="22">
        <v>20844</v>
      </c>
      <c r="C295" s="1" t="s">
        <v>363</v>
      </c>
      <c r="D295" s="1" t="s">
        <v>273</v>
      </c>
      <c r="E295" s="1" t="s">
        <v>33</v>
      </c>
      <c r="F295" s="22">
        <v>34690</v>
      </c>
      <c r="G295" s="1">
        <v>4</v>
      </c>
      <c r="H295" s="1" t="s">
        <v>35</v>
      </c>
      <c r="I295" s="1">
        <v>0</v>
      </c>
      <c r="J295" s="1"/>
      <c r="K295" s="24">
        <v>54635</v>
      </c>
      <c r="L295" s="1" t="s">
        <v>89</v>
      </c>
      <c r="M295" s="3" t="s">
        <v>41</v>
      </c>
      <c r="N295">
        <f>IF(AND( Table15[[#This Row],[Salary]] &gt;= 80000, OR(Table15[[#This Row],[Last_performance_rating]] = "C", Table15[[#This Row],[Last_performance_rating]] = "PIP")) =  TRUE, 1, 0)</f>
        <v>0</v>
      </c>
    </row>
    <row r="296" spans="1:14" x14ac:dyDescent="0.25">
      <c r="A296" s="2">
        <v>446142</v>
      </c>
      <c r="B296" s="22">
        <v>22515</v>
      </c>
      <c r="C296" s="1" t="s">
        <v>1052</v>
      </c>
      <c r="D296" s="1" t="s">
        <v>1053</v>
      </c>
      <c r="E296" s="1" t="s">
        <v>33</v>
      </c>
      <c r="F296" s="22">
        <v>34160</v>
      </c>
      <c r="G296" s="1">
        <v>6</v>
      </c>
      <c r="H296" s="1" t="s">
        <v>29</v>
      </c>
      <c r="I296" s="1">
        <v>0</v>
      </c>
      <c r="J296" s="1"/>
      <c r="K296" s="24">
        <v>40000</v>
      </c>
      <c r="L296" s="1" t="s">
        <v>71</v>
      </c>
      <c r="M296" s="3" t="s">
        <v>18</v>
      </c>
      <c r="N296">
        <f>IF(AND( Table15[[#This Row],[Salary]] &gt;= 80000, OR(Table15[[#This Row],[Last_performance_rating]] = "C", Table15[[#This Row],[Last_performance_rating]] = "PIP")) =  TRUE, 1, 0)</f>
        <v>0</v>
      </c>
    </row>
    <row r="297" spans="1:14" x14ac:dyDescent="0.25">
      <c r="A297" s="2">
        <v>10177</v>
      </c>
      <c r="B297" s="22">
        <v>20036</v>
      </c>
      <c r="C297" s="1" t="s">
        <v>1056</v>
      </c>
      <c r="D297" s="1" t="s">
        <v>1057</v>
      </c>
      <c r="E297" s="1" t="s">
        <v>13</v>
      </c>
      <c r="F297" s="22">
        <v>34006</v>
      </c>
      <c r="G297" s="1">
        <v>10</v>
      </c>
      <c r="H297" s="1" t="s">
        <v>138</v>
      </c>
      <c r="I297" s="1">
        <v>0</v>
      </c>
      <c r="J297" s="1"/>
      <c r="K297" s="24">
        <v>48041</v>
      </c>
      <c r="L297" s="1" t="s">
        <v>108</v>
      </c>
      <c r="M297" s="3" t="s">
        <v>41</v>
      </c>
      <c r="N297">
        <f>IF(AND( Table15[[#This Row],[Salary]] &gt;= 80000, OR(Table15[[#This Row],[Last_performance_rating]] = "C", Table15[[#This Row],[Last_performance_rating]] = "PIP")) =  TRUE, 1, 0)</f>
        <v>0</v>
      </c>
    </row>
    <row r="298" spans="1:14" x14ac:dyDescent="0.25">
      <c r="A298" s="2">
        <v>10178</v>
      </c>
      <c r="B298" s="22">
        <v>23083</v>
      </c>
      <c r="C298" s="1" t="s">
        <v>1060</v>
      </c>
      <c r="D298" s="1" t="s">
        <v>1061</v>
      </c>
      <c r="E298" s="1" t="s">
        <v>13</v>
      </c>
      <c r="F298" s="22">
        <v>31692</v>
      </c>
      <c r="G298" s="1">
        <v>9</v>
      </c>
      <c r="H298" s="1" t="s">
        <v>15</v>
      </c>
      <c r="I298" s="1">
        <v>0</v>
      </c>
      <c r="J298" s="1"/>
      <c r="K298" s="24">
        <v>50568</v>
      </c>
      <c r="L298" s="1" t="s">
        <v>40</v>
      </c>
      <c r="M298" s="3" t="s">
        <v>41</v>
      </c>
      <c r="N298">
        <f>IF(AND( Table15[[#This Row],[Salary]] &gt;= 80000, OR(Table15[[#This Row],[Last_performance_rating]] = "C", Table15[[#This Row],[Last_performance_rating]] = "PIP")) =  TRUE, 1, 0)</f>
        <v>0</v>
      </c>
    </row>
    <row r="299" spans="1:14" x14ac:dyDescent="0.25">
      <c r="A299" s="2">
        <v>201769</v>
      </c>
      <c r="B299" s="22">
        <v>22591</v>
      </c>
      <c r="C299" s="1" t="s">
        <v>1064</v>
      </c>
      <c r="D299" s="1" t="s">
        <v>1065</v>
      </c>
      <c r="E299" s="1" t="s">
        <v>13</v>
      </c>
      <c r="F299" s="22">
        <v>33873</v>
      </c>
      <c r="G299" s="1">
        <v>10</v>
      </c>
      <c r="H299" s="1" t="s">
        <v>29</v>
      </c>
      <c r="I299" s="1">
        <v>0</v>
      </c>
      <c r="J299" s="1"/>
      <c r="K299" s="24">
        <v>48427</v>
      </c>
      <c r="L299" s="1" t="s">
        <v>24</v>
      </c>
      <c r="M299" s="3" t="s">
        <v>156</v>
      </c>
      <c r="N299">
        <f>IF(AND( Table15[[#This Row],[Salary]] &gt;= 80000, OR(Table15[[#This Row],[Last_performance_rating]] = "C", Table15[[#This Row],[Last_performance_rating]] = "PIP")) =  TRUE, 1, 0)</f>
        <v>0</v>
      </c>
    </row>
    <row r="300" spans="1:14" x14ac:dyDescent="0.25">
      <c r="A300" s="2">
        <v>10179</v>
      </c>
      <c r="B300" s="22">
        <v>22610</v>
      </c>
      <c r="C300" s="1" t="s">
        <v>1068</v>
      </c>
      <c r="D300" s="1" t="s">
        <v>1069</v>
      </c>
      <c r="E300" s="1" t="s">
        <v>33</v>
      </c>
      <c r="F300" s="22">
        <v>33150</v>
      </c>
      <c r="G300" s="1">
        <v>5</v>
      </c>
      <c r="H300" s="1" t="s">
        <v>35</v>
      </c>
      <c r="I300" s="1">
        <v>0</v>
      </c>
      <c r="J300" s="1"/>
      <c r="K300" s="24">
        <v>40000</v>
      </c>
      <c r="L300" s="1" t="s">
        <v>17</v>
      </c>
      <c r="M300" s="3" t="s">
        <v>55</v>
      </c>
      <c r="N300">
        <f>IF(AND( Table15[[#This Row],[Salary]] &gt;= 80000, OR(Table15[[#This Row],[Last_performance_rating]] = "C", Table15[[#This Row],[Last_performance_rating]] = "PIP")) =  TRUE, 1, 0)</f>
        <v>0</v>
      </c>
    </row>
    <row r="301" spans="1:14" x14ac:dyDescent="0.25">
      <c r="A301" s="2">
        <v>10180</v>
      </c>
      <c r="B301" s="22">
        <v>20483</v>
      </c>
      <c r="C301" s="1" t="s">
        <v>1072</v>
      </c>
      <c r="D301" s="1" t="s">
        <v>1073</v>
      </c>
      <c r="E301" s="1" t="s">
        <v>13</v>
      </c>
      <c r="F301" s="22">
        <v>31468</v>
      </c>
      <c r="G301" s="1">
        <v>10</v>
      </c>
      <c r="H301" s="1" t="s">
        <v>29</v>
      </c>
      <c r="I301" s="1">
        <v>0</v>
      </c>
      <c r="J301" s="1"/>
      <c r="K301" s="24">
        <v>52444</v>
      </c>
      <c r="L301" s="1" t="s">
        <v>108</v>
      </c>
      <c r="M301" s="3" t="s">
        <v>41</v>
      </c>
      <c r="N301">
        <f>IF(AND( Table15[[#This Row],[Salary]] &gt;= 80000, OR(Table15[[#This Row],[Last_performance_rating]] = "C", Table15[[#This Row],[Last_performance_rating]] = "PIP")) =  TRUE, 1, 0)</f>
        <v>0</v>
      </c>
    </row>
    <row r="302" spans="1:14" x14ac:dyDescent="0.25">
      <c r="A302" s="2">
        <v>56049</v>
      </c>
      <c r="B302" s="22">
        <v>19190</v>
      </c>
      <c r="C302" s="1" t="s">
        <v>1076</v>
      </c>
      <c r="D302" s="1" t="s">
        <v>1077</v>
      </c>
      <c r="E302" s="1" t="s">
        <v>33</v>
      </c>
      <c r="F302" s="22">
        <v>32157</v>
      </c>
      <c r="G302" s="1">
        <v>5</v>
      </c>
      <c r="H302" s="1" t="s">
        <v>35</v>
      </c>
      <c r="I302" s="1">
        <v>0</v>
      </c>
      <c r="J302" s="1"/>
      <c r="K302" s="24">
        <v>76782</v>
      </c>
      <c r="L302" s="1" t="s">
        <v>125</v>
      </c>
      <c r="M302" s="3" t="s">
        <v>41</v>
      </c>
      <c r="N302">
        <f>IF(AND( Table15[[#This Row],[Salary]] &gt;= 80000, OR(Table15[[#This Row],[Last_performance_rating]] = "C", Table15[[#This Row],[Last_performance_rating]] = "PIP")) =  TRUE, 1, 0)</f>
        <v>0</v>
      </c>
    </row>
    <row r="303" spans="1:14" x14ac:dyDescent="0.25">
      <c r="A303" s="2">
        <v>56049</v>
      </c>
      <c r="B303" s="22">
        <v>19190</v>
      </c>
      <c r="C303" s="1" t="s">
        <v>1076</v>
      </c>
      <c r="D303" s="1" t="s">
        <v>1077</v>
      </c>
      <c r="E303" s="1" t="s">
        <v>33</v>
      </c>
      <c r="F303" s="22">
        <v>32157</v>
      </c>
      <c r="G303" s="1">
        <v>5</v>
      </c>
      <c r="H303" s="1" t="s">
        <v>35</v>
      </c>
      <c r="I303" s="1">
        <v>0</v>
      </c>
      <c r="J303" s="1"/>
      <c r="K303" s="24">
        <v>76782</v>
      </c>
      <c r="L303" s="1" t="s">
        <v>89</v>
      </c>
      <c r="M303" s="3" t="s">
        <v>41</v>
      </c>
      <c r="N303">
        <f>IF(AND( Table15[[#This Row],[Salary]] &gt;= 80000, OR(Table15[[#This Row],[Last_performance_rating]] = "C", Table15[[#This Row],[Last_performance_rating]] = "PIP")) =  TRUE, 1, 0)</f>
        <v>0</v>
      </c>
    </row>
    <row r="304" spans="1:14" x14ac:dyDescent="0.25">
      <c r="A304" s="2">
        <v>10181</v>
      </c>
      <c r="B304" s="22">
        <v>23033</v>
      </c>
      <c r="C304" s="1" t="s">
        <v>1080</v>
      </c>
      <c r="D304" s="1" t="s">
        <v>115</v>
      </c>
      <c r="E304" s="1" t="s">
        <v>13</v>
      </c>
      <c r="F304" s="22">
        <v>32316</v>
      </c>
      <c r="G304" s="1">
        <v>7</v>
      </c>
      <c r="H304" s="1" t="s">
        <v>35</v>
      </c>
      <c r="I304" s="1">
        <v>0</v>
      </c>
      <c r="J304" s="1"/>
      <c r="K304" s="24">
        <v>40000</v>
      </c>
      <c r="L304" s="1" t="s">
        <v>17</v>
      </c>
      <c r="M304" s="3" t="s">
        <v>18</v>
      </c>
      <c r="N304">
        <f>IF(AND( Table15[[#This Row],[Salary]] &gt;= 80000, OR(Table15[[#This Row],[Last_performance_rating]] = "C", Table15[[#This Row],[Last_performance_rating]] = "PIP")) =  TRUE, 1, 0)</f>
        <v>0</v>
      </c>
    </row>
    <row r="305" spans="1:14" x14ac:dyDescent="0.25">
      <c r="A305" s="2">
        <v>10182</v>
      </c>
      <c r="B305" s="22">
        <v>22316</v>
      </c>
      <c r="C305" s="1" t="s">
        <v>1083</v>
      </c>
      <c r="D305" s="1" t="s">
        <v>1084</v>
      </c>
      <c r="E305" s="1" t="s">
        <v>33</v>
      </c>
      <c r="F305" s="22">
        <v>33118</v>
      </c>
      <c r="G305" s="1">
        <v>5</v>
      </c>
      <c r="H305" s="1" t="s">
        <v>138</v>
      </c>
      <c r="I305" s="1">
        <v>0</v>
      </c>
      <c r="J305" s="1"/>
      <c r="K305" s="24">
        <v>40380</v>
      </c>
      <c r="L305" s="1" t="s">
        <v>17</v>
      </c>
      <c r="M305" s="3" t="s">
        <v>18</v>
      </c>
      <c r="N305">
        <f>IF(AND( Table15[[#This Row],[Salary]] &gt;= 80000, OR(Table15[[#This Row],[Last_performance_rating]] = "C", Table15[[#This Row],[Last_performance_rating]] = "PIP")) =  TRUE, 1, 0)</f>
        <v>0</v>
      </c>
    </row>
    <row r="306" spans="1:14" x14ac:dyDescent="0.25">
      <c r="A306" s="2">
        <v>10182</v>
      </c>
      <c r="B306" s="22">
        <v>22316</v>
      </c>
      <c r="C306" s="1" t="s">
        <v>1083</v>
      </c>
      <c r="D306" s="1" t="s">
        <v>1084</v>
      </c>
      <c r="E306" s="1" t="s">
        <v>33</v>
      </c>
      <c r="F306" s="22">
        <v>33118</v>
      </c>
      <c r="G306" s="1">
        <v>5</v>
      </c>
      <c r="H306" s="1" t="s">
        <v>138</v>
      </c>
      <c r="I306" s="1">
        <v>0</v>
      </c>
      <c r="J306" s="1"/>
      <c r="K306" s="24">
        <v>40380</v>
      </c>
      <c r="L306" s="1" t="s">
        <v>61</v>
      </c>
      <c r="M306" s="3" t="s">
        <v>18</v>
      </c>
      <c r="N306">
        <f>IF(AND( Table15[[#This Row],[Salary]] &gt;= 80000, OR(Table15[[#This Row],[Last_performance_rating]] = "C", Table15[[#This Row],[Last_performance_rating]] = "PIP")) =  TRUE, 1, 0)</f>
        <v>0</v>
      </c>
    </row>
    <row r="307" spans="1:14" x14ac:dyDescent="0.25">
      <c r="A307" s="2">
        <v>414537</v>
      </c>
      <c r="B307" s="22">
        <v>22141</v>
      </c>
      <c r="C307" s="1" t="s">
        <v>708</v>
      </c>
      <c r="D307" s="1" t="s">
        <v>1087</v>
      </c>
      <c r="E307" s="1" t="s">
        <v>13</v>
      </c>
      <c r="F307" s="22">
        <v>31781</v>
      </c>
      <c r="G307" s="1">
        <v>10</v>
      </c>
      <c r="H307" s="1" t="s">
        <v>35</v>
      </c>
      <c r="I307" s="1">
        <v>0</v>
      </c>
      <c r="J307" s="1"/>
      <c r="K307" s="24">
        <v>78474</v>
      </c>
      <c r="L307" s="1" t="s">
        <v>40</v>
      </c>
      <c r="M307" s="3" t="s">
        <v>41</v>
      </c>
      <c r="N307">
        <f>IF(AND( Table15[[#This Row],[Salary]] &gt;= 80000, OR(Table15[[#This Row],[Last_performance_rating]] = "C", Table15[[#This Row],[Last_performance_rating]] = "PIP")) =  TRUE, 1, 0)</f>
        <v>0</v>
      </c>
    </row>
    <row r="308" spans="1:14" x14ac:dyDescent="0.25">
      <c r="A308" s="2">
        <v>10183</v>
      </c>
      <c r="B308" s="22">
        <v>20014</v>
      </c>
      <c r="C308" s="1" t="s">
        <v>491</v>
      </c>
      <c r="D308" s="1" t="s">
        <v>1090</v>
      </c>
      <c r="E308" s="1" t="s">
        <v>13</v>
      </c>
      <c r="F308" s="22">
        <v>35288</v>
      </c>
      <c r="G308" s="1">
        <v>1</v>
      </c>
      <c r="H308" s="1" t="s">
        <v>15</v>
      </c>
      <c r="I308" s="1">
        <v>0</v>
      </c>
      <c r="J308" s="1"/>
      <c r="K308" s="24">
        <v>40000</v>
      </c>
      <c r="L308" s="1" t="s">
        <v>89</v>
      </c>
      <c r="M308" s="3" t="s">
        <v>41</v>
      </c>
      <c r="N308">
        <f>IF(AND( Table15[[#This Row],[Salary]] &gt;= 80000, OR(Table15[[#This Row],[Last_performance_rating]] = "C", Table15[[#This Row],[Last_performance_rating]] = "PIP")) =  TRUE, 1, 0)</f>
        <v>0</v>
      </c>
    </row>
    <row r="309" spans="1:14" x14ac:dyDescent="0.25">
      <c r="A309" s="2">
        <v>414885</v>
      </c>
      <c r="B309" s="22">
        <v>22861</v>
      </c>
      <c r="C309" s="1" t="s">
        <v>1093</v>
      </c>
      <c r="D309" s="1" t="s">
        <v>349</v>
      </c>
      <c r="E309" s="1" t="s">
        <v>13</v>
      </c>
      <c r="F309" s="22">
        <v>34938</v>
      </c>
      <c r="G309" s="1">
        <v>7</v>
      </c>
      <c r="H309" s="1" t="s">
        <v>29</v>
      </c>
      <c r="I309" s="1">
        <v>0</v>
      </c>
      <c r="J309" s="1"/>
      <c r="K309" s="24">
        <v>81272</v>
      </c>
      <c r="L309" s="1" t="s">
        <v>40</v>
      </c>
      <c r="M309" s="3" t="s">
        <v>41</v>
      </c>
      <c r="N309">
        <f>IF(AND( Table15[[#This Row],[Salary]] &gt;= 80000, OR(Table15[[#This Row],[Last_performance_rating]] = "C", Table15[[#This Row],[Last_performance_rating]] = "PIP")) =  TRUE, 1, 0)</f>
        <v>0</v>
      </c>
    </row>
    <row r="310" spans="1:14" x14ac:dyDescent="0.25">
      <c r="A310" s="2">
        <v>10184</v>
      </c>
      <c r="B310" s="22">
        <v>20962</v>
      </c>
      <c r="C310" s="1" t="s">
        <v>1096</v>
      </c>
      <c r="D310" s="1" t="s">
        <v>1097</v>
      </c>
      <c r="E310" s="1" t="s">
        <v>13</v>
      </c>
      <c r="F310" s="22">
        <v>32079</v>
      </c>
      <c r="G310" s="1">
        <v>10</v>
      </c>
      <c r="H310" s="1" t="s">
        <v>35</v>
      </c>
      <c r="I310" s="1">
        <v>0</v>
      </c>
      <c r="J310" s="1"/>
      <c r="K310" s="24">
        <v>48586</v>
      </c>
      <c r="L310" s="1" t="s">
        <v>89</v>
      </c>
      <c r="M310" s="3" t="s">
        <v>41</v>
      </c>
      <c r="N310">
        <f>IF(AND( Table15[[#This Row],[Salary]] &gt;= 80000, OR(Table15[[#This Row],[Last_performance_rating]] = "C", Table15[[#This Row],[Last_performance_rating]] = "PIP")) =  TRUE, 1, 0)</f>
        <v>0</v>
      </c>
    </row>
    <row r="311" spans="1:14" x14ac:dyDescent="0.25">
      <c r="A311" s="2">
        <v>10185</v>
      </c>
      <c r="B311" s="22">
        <v>21889</v>
      </c>
      <c r="C311" s="1" t="s">
        <v>1099</v>
      </c>
      <c r="D311" s="1" t="s">
        <v>1100</v>
      </c>
      <c r="E311" s="1" t="s">
        <v>33</v>
      </c>
      <c r="F311" s="22">
        <v>31472</v>
      </c>
      <c r="G311" s="1">
        <v>10</v>
      </c>
      <c r="H311" s="1" t="s">
        <v>15</v>
      </c>
      <c r="I311" s="1">
        <v>0</v>
      </c>
      <c r="J311" s="1"/>
      <c r="K311" s="24">
        <v>68334</v>
      </c>
      <c r="L311" s="1" t="s">
        <v>40</v>
      </c>
      <c r="M311" s="3" t="s">
        <v>41</v>
      </c>
      <c r="N311">
        <f>IF(AND( Table15[[#This Row],[Salary]] &gt;= 80000, OR(Table15[[#This Row],[Last_performance_rating]] = "C", Table15[[#This Row],[Last_performance_rating]] = "PIP")) =  TRUE, 1, 0)</f>
        <v>0</v>
      </c>
    </row>
    <row r="312" spans="1:14" x14ac:dyDescent="0.25">
      <c r="A312" s="2">
        <v>10186</v>
      </c>
      <c r="B312" s="22">
        <v>19556</v>
      </c>
      <c r="C312" s="1" t="s">
        <v>1103</v>
      </c>
      <c r="D312" s="1" t="s">
        <v>1104</v>
      </c>
      <c r="E312" s="1" t="s">
        <v>13</v>
      </c>
      <c r="F312" s="22">
        <v>31499</v>
      </c>
      <c r="G312" s="1">
        <v>9</v>
      </c>
      <c r="H312" s="1" t="s">
        <v>29</v>
      </c>
      <c r="I312" s="1">
        <v>0</v>
      </c>
      <c r="J312" s="1"/>
      <c r="K312" s="24">
        <v>40000</v>
      </c>
      <c r="L312" s="1" t="s">
        <v>108</v>
      </c>
      <c r="M312" s="3" t="s">
        <v>41</v>
      </c>
      <c r="N312">
        <f>IF(AND( Table15[[#This Row],[Salary]] &gt;= 80000, OR(Table15[[#This Row],[Last_performance_rating]] = "C", Table15[[#This Row],[Last_performance_rating]] = "PIP")) =  TRUE, 1, 0)</f>
        <v>0</v>
      </c>
    </row>
    <row r="313" spans="1:14" x14ac:dyDescent="0.25">
      <c r="A313" s="2">
        <v>10187</v>
      </c>
      <c r="B313" s="22">
        <v>22427</v>
      </c>
      <c r="C313" s="1" t="s">
        <v>1107</v>
      </c>
      <c r="D313" s="1" t="s">
        <v>1108</v>
      </c>
      <c r="E313" s="1" t="s">
        <v>33</v>
      </c>
      <c r="F313" s="22">
        <v>33390</v>
      </c>
      <c r="G313" s="1">
        <v>3</v>
      </c>
      <c r="H313" s="1" t="s">
        <v>138</v>
      </c>
      <c r="I313" s="1">
        <v>1</v>
      </c>
      <c r="J313" s="22">
        <v>35520</v>
      </c>
      <c r="K313" s="24">
        <v>71454</v>
      </c>
      <c r="L313" s="1" t="s">
        <v>108</v>
      </c>
      <c r="M313" s="3" t="s">
        <v>41</v>
      </c>
      <c r="N313">
        <f>IF(AND( Table15[[#This Row],[Salary]] &gt;= 80000, OR(Table15[[#This Row],[Last_performance_rating]] = "C", Table15[[#This Row],[Last_performance_rating]] = "PIP")) =  TRUE, 1, 0)</f>
        <v>0</v>
      </c>
    </row>
    <row r="314" spans="1:14" x14ac:dyDescent="0.25">
      <c r="A314" s="2">
        <v>250218</v>
      </c>
      <c r="B314" s="22">
        <v>19389</v>
      </c>
      <c r="C314" s="1" t="s">
        <v>1112</v>
      </c>
      <c r="D314" s="1" t="s">
        <v>1113</v>
      </c>
      <c r="E314" s="1" t="s">
        <v>13</v>
      </c>
      <c r="F314" s="22">
        <v>32167</v>
      </c>
      <c r="G314" s="1">
        <v>8</v>
      </c>
      <c r="H314" s="1" t="s">
        <v>35</v>
      </c>
      <c r="I314" s="1">
        <v>0</v>
      </c>
      <c r="J314" s="1"/>
      <c r="K314" s="24">
        <v>41127</v>
      </c>
      <c r="L314" s="1" t="s">
        <v>17</v>
      </c>
      <c r="M314" s="3" t="s">
        <v>18</v>
      </c>
      <c r="N314">
        <f>IF(AND( Table15[[#This Row],[Salary]] &gt;= 80000, OR(Table15[[#This Row],[Last_performance_rating]] = "C", Table15[[#This Row],[Last_performance_rating]] = "PIP")) =  TRUE, 1, 0)</f>
        <v>0</v>
      </c>
    </row>
    <row r="315" spans="1:14" x14ac:dyDescent="0.25">
      <c r="A315" s="2">
        <v>250218</v>
      </c>
      <c r="B315" s="22">
        <v>19389</v>
      </c>
      <c r="C315" s="1" t="s">
        <v>1112</v>
      </c>
      <c r="D315" s="1" t="s">
        <v>1113</v>
      </c>
      <c r="E315" s="1" t="s">
        <v>13</v>
      </c>
      <c r="F315" s="22">
        <v>32167</v>
      </c>
      <c r="G315" s="1">
        <v>8</v>
      </c>
      <c r="H315" s="1" t="s">
        <v>35</v>
      </c>
      <c r="I315" s="1">
        <v>0</v>
      </c>
      <c r="J315" s="1"/>
      <c r="K315" s="24">
        <v>41127</v>
      </c>
      <c r="L315" s="1" t="s">
        <v>61</v>
      </c>
      <c r="M315" s="3" t="s">
        <v>18</v>
      </c>
      <c r="N315">
        <f>IF(AND( Table15[[#This Row],[Salary]] &gt;= 80000, OR(Table15[[#This Row],[Last_performance_rating]] = "C", Table15[[#This Row],[Last_performance_rating]] = "PIP")) =  TRUE, 1, 0)</f>
        <v>0</v>
      </c>
    </row>
    <row r="316" spans="1:14" x14ac:dyDescent="0.25">
      <c r="A316" s="2">
        <v>10188</v>
      </c>
      <c r="B316" s="22">
        <v>20649</v>
      </c>
      <c r="C316" s="1" t="s">
        <v>1116</v>
      </c>
      <c r="D316" s="1" t="s">
        <v>1117</v>
      </c>
      <c r="E316" s="1" t="s">
        <v>33</v>
      </c>
      <c r="F316" s="22">
        <v>32016</v>
      </c>
      <c r="G316" s="1">
        <v>5</v>
      </c>
      <c r="H316" s="1" t="s">
        <v>35</v>
      </c>
      <c r="I316" s="1">
        <v>0</v>
      </c>
      <c r="J316" s="1"/>
      <c r="K316" s="24">
        <v>62365</v>
      </c>
      <c r="L316" s="1" t="s">
        <v>24</v>
      </c>
      <c r="M316" s="3" t="s">
        <v>18</v>
      </c>
      <c r="N316">
        <f>IF(AND( Table15[[#This Row],[Salary]] &gt;= 80000, OR(Table15[[#This Row],[Last_performance_rating]] = "C", Table15[[#This Row],[Last_performance_rating]] = "PIP")) =  TRUE, 1, 0)</f>
        <v>0</v>
      </c>
    </row>
    <row r="317" spans="1:14" x14ac:dyDescent="0.25">
      <c r="A317" s="2">
        <v>10189</v>
      </c>
      <c r="B317" s="22">
        <v>20405</v>
      </c>
      <c r="C317" s="1" t="s">
        <v>1120</v>
      </c>
      <c r="D317" s="1" t="s">
        <v>1121</v>
      </c>
      <c r="E317" s="1" t="s">
        <v>13</v>
      </c>
      <c r="F317" s="22">
        <v>32786</v>
      </c>
      <c r="G317" s="1">
        <v>6</v>
      </c>
      <c r="H317" s="1" t="s">
        <v>15</v>
      </c>
      <c r="I317" s="1">
        <v>0</v>
      </c>
      <c r="J317" s="1"/>
      <c r="K317" s="24">
        <v>41222</v>
      </c>
      <c r="L317" s="1" t="s">
        <v>17</v>
      </c>
      <c r="M317" s="3" t="s">
        <v>55</v>
      </c>
      <c r="N317">
        <f>IF(AND( Table15[[#This Row],[Salary]] &gt;= 80000, OR(Table15[[#This Row],[Last_performance_rating]] = "C", Table15[[#This Row],[Last_performance_rating]] = "PIP")) =  TRUE, 1, 0)</f>
        <v>0</v>
      </c>
    </row>
    <row r="318" spans="1:14" x14ac:dyDescent="0.25">
      <c r="A318" s="2">
        <v>451340</v>
      </c>
      <c r="B318" s="22">
        <v>22623</v>
      </c>
      <c r="C318" s="1" t="s">
        <v>415</v>
      </c>
      <c r="D318" s="1" t="s">
        <v>727</v>
      </c>
      <c r="E318" s="1" t="s">
        <v>13</v>
      </c>
      <c r="F318" s="22">
        <v>32059</v>
      </c>
      <c r="G318" s="1">
        <v>1</v>
      </c>
      <c r="H318" s="1" t="s">
        <v>35</v>
      </c>
      <c r="I318" s="1">
        <v>0</v>
      </c>
      <c r="J318" s="1"/>
      <c r="K318" s="24">
        <v>40000</v>
      </c>
      <c r="L318" s="1" t="s">
        <v>46</v>
      </c>
      <c r="M318" s="3" t="s">
        <v>41</v>
      </c>
      <c r="N318">
        <f>IF(AND( Table15[[#This Row],[Salary]] &gt;= 80000, OR(Table15[[#This Row],[Last_performance_rating]] = "C", Table15[[#This Row],[Last_performance_rating]] = "PIP")) =  TRUE, 1, 0)</f>
        <v>0</v>
      </c>
    </row>
    <row r="319" spans="1:14" x14ac:dyDescent="0.25">
      <c r="A319" s="2">
        <v>10190</v>
      </c>
      <c r="B319" s="22">
        <v>23722</v>
      </c>
      <c r="C319" s="1" t="s">
        <v>1126</v>
      </c>
      <c r="D319" s="1" t="s">
        <v>737</v>
      </c>
      <c r="E319" s="1" t="s">
        <v>33</v>
      </c>
      <c r="F319" s="22">
        <v>31586</v>
      </c>
      <c r="G319" s="1">
        <v>5</v>
      </c>
      <c r="H319" s="1" t="s">
        <v>35</v>
      </c>
      <c r="I319" s="1">
        <v>0</v>
      </c>
      <c r="J319" s="1"/>
      <c r="K319" s="24">
        <v>40000</v>
      </c>
      <c r="L319" s="1" t="s">
        <v>24</v>
      </c>
      <c r="M319" s="3" t="s">
        <v>18</v>
      </c>
      <c r="N319">
        <f>IF(AND( Table15[[#This Row],[Salary]] &gt;= 80000, OR(Table15[[#This Row],[Last_performance_rating]] = "C", Table15[[#This Row],[Last_performance_rating]] = "PIP")) =  TRUE, 1, 0)</f>
        <v>0</v>
      </c>
    </row>
    <row r="320" spans="1:14" x14ac:dyDescent="0.25">
      <c r="A320" s="2">
        <v>10191</v>
      </c>
      <c r="B320" s="22">
        <v>21648</v>
      </c>
      <c r="C320" s="1" t="s">
        <v>1129</v>
      </c>
      <c r="D320" s="1" t="s">
        <v>934</v>
      </c>
      <c r="E320" s="1" t="s">
        <v>13</v>
      </c>
      <c r="F320" s="22">
        <v>31512</v>
      </c>
      <c r="G320" s="1">
        <v>4</v>
      </c>
      <c r="H320" s="1" t="s">
        <v>35</v>
      </c>
      <c r="I320" s="1">
        <v>0</v>
      </c>
      <c r="J320" s="1"/>
      <c r="K320" s="24">
        <v>40000</v>
      </c>
      <c r="L320" s="1" t="s">
        <v>17</v>
      </c>
      <c r="M320" s="3" t="s">
        <v>18</v>
      </c>
      <c r="N320">
        <f>IF(AND( Table15[[#This Row],[Salary]] &gt;= 80000, OR(Table15[[#This Row],[Last_performance_rating]] = "C", Table15[[#This Row],[Last_performance_rating]] = "PIP")) =  TRUE, 1, 0)</f>
        <v>0</v>
      </c>
    </row>
    <row r="321" spans="1:14" x14ac:dyDescent="0.25">
      <c r="A321" s="2">
        <v>413842</v>
      </c>
      <c r="B321" s="22">
        <v>22939</v>
      </c>
      <c r="C321" s="1" t="s">
        <v>91</v>
      </c>
      <c r="D321" s="1" t="s">
        <v>1132</v>
      </c>
      <c r="E321" s="1" t="s">
        <v>33</v>
      </c>
      <c r="F321" s="22">
        <v>33155</v>
      </c>
      <c r="G321" s="1">
        <v>3</v>
      </c>
      <c r="H321" s="1" t="s">
        <v>15</v>
      </c>
      <c r="I321" s="1">
        <v>0</v>
      </c>
      <c r="J321" s="1"/>
      <c r="K321" s="24">
        <v>40000</v>
      </c>
      <c r="L321" s="1" t="s">
        <v>24</v>
      </c>
      <c r="M321" s="3" t="s">
        <v>18</v>
      </c>
      <c r="N321">
        <f>IF(AND( Table15[[#This Row],[Salary]] &gt;= 80000, OR(Table15[[#This Row],[Last_performance_rating]] = "C", Table15[[#This Row],[Last_performance_rating]] = "PIP")) =  TRUE, 1, 0)</f>
        <v>0</v>
      </c>
    </row>
    <row r="322" spans="1:14" x14ac:dyDescent="0.25">
      <c r="A322" s="2">
        <v>10192</v>
      </c>
      <c r="B322" s="22">
        <v>22175</v>
      </c>
      <c r="C322" s="1" t="s">
        <v>1135</v>
      </c>
      <c r="D322" s="1" t="s">
        <v>1136</v>
      </c>
      <c r="E322" s="1" t="s">
        <v>13</v>
      </c>
      <c r="F322" s="22">
        <v>32307</v>
      </c>
      <c r="G322" s="1">
        <v>10</v>
      </c>
      <c r="H322" s="1" t="s">
        <v>29</v>
      </c>
      <c r="I322" s="1">
        <v>0</v>
      </c>
      <c r="J322" s="1"/>
      <c r="K322" s="24">
        <v>40000</v>
      </c>
      <c r="L322" s="1" t="s">
        <v>24</v>
      </c>
      <c r="M322" s="3" t="s">
        <v>18</v>
      </c>
      <c r="N322">
        <f>IF(AND( Table15[[#This Row],[Salary]] &gt;= 80000, OR(Table15[[#This Row],[Last_performance_rating]] = "C", Table15[[#This Row],[Last_performance_rating]] = "PIP")) =  TRUE, 1, 0)</f>
        <v>0</v>
      </c>
    </row>
    <row r="323" spans="1:14" x14ac:dyDescent="0.25">
      <c r="A323" s="2">
        <v>10192</v>
      </c>
      <c r="B323" s="22">
        <v>22175</v>
      </c>
      <c r="C323" s="1" t="s">
        <v>1135</v>
      </c>
      <c r="D323" s="1" t="s">
        <v>1136</v>
      </c>
      <c r="E323" s="1" t="s">
        <v>13</v>
      </c>
      <c r="F323" s="22">
        <v>32307</v>
      </c>
      <c r="G323" s="1">
        <v>10</v>
      </c>
      <c r="H323" s="1" t="s">
        <v>29</v>
      </c>
      <c r="I323" s="1">
        <v>0</v>
      </c>
      <c r="J323" s="1"/>
      <c r="K323" s="24">
        <v>40000</v>
      </c>
      <c r="L323" s="1" t="s">
        <v>71</v>
      </c>
      <c r="M323" s="3" t="s">
        <v>18</v>
      </c>
      <c r="N323">
        <f>IF(AND( Table15[[#This Row],[Salary]] &gt;= 80000, OR(Table15[[#This Row],[Last_performance_rating]] = "C", Table15[[#This Row],[Last_performance_rating]] = "PIP")) =  TRUE, 1, 0)</f>
        <v>0</v>
      </c>
    </row>
    <row r="324" spans="1:14" x14ac:dyDescent="0.25">
      <c r="A324" s="2">
        <v>464798</v>
      </c>
      <c r="B324" s="22">
        <v>19773</v>
      </c>
      <c r="C324" s="1" t="s">
        <v>1139</v>
      </c>
      <c r="D324" s="1" t="s">
        <v>1084</v>
      </c>
      <c r="E324" s="1" t="s">
        <v>13</v>
      </c>
      <c r="F324" s="22">
        <v>32590</v>
      </c>
      <c r="G324" s="1">
        <v>3</v>
      </c>
      <c r="H324" s="1" t="s">
        <v>29</v>
      </c>
      <c r="I324" s="1">
        <v>0</v>
      </c>
      <c r="J324" s="1"/>
      <c r="K324" s="24">
        <v>46791</v>
      </c>
      <c r="L324" s="1" t="s">
        <v>24</v>
      </c>
      <c r="M324" s="3" t="s">
        <v>18</v>
      </c>
      <c r="N324">
        <f>IF(AND( Table15[[#This Row],[Salary]] &gt;= 80000, OR(Table15[[#This Row],[Last_performance_rating]] = "C", Table15[[#This Row],[Last_performance_rating]] = "PIP")) =  TRUE, 1, 0)</f>
        <v>0</v>
      </c>
    </row>
    <row r="325" spans="1:14" x14ac:dyDescent="0.25">
      <c r="A325" s="2">
        <v>10193</v>
      </c>
      <c r="B325" s="22">
        <v>22096</v>
      </c>
      <c r="C325" s="1" t="s">
        <v>1142</v>
      </c>
      <c r="D325" s="1" t="s">
        <v>1143</v>
      </c>
      <c r="E325" s="1" t="s">
        <v>13</v>
      </c>
      <c r="F325" s="22">
        <v>33447</v>
      </c>
      <c r="G325" s="1">
        <v>1</v>
      </c>
      <c r="H325" s="1" t="s">
        <v>15</v>
      </c>
      <c r="I325" s="1">
        <v>0</v>
      </c>
      <c r="J325" s="1"/>
      <c r="K325" s="24">
        <v>48733</v>
      </c>
      <c r="L325" s="1" t="s">
        <v>17</v>
      </c>
      <c r="M325" s="3" t="s">
        <v>55</v>
      </c>
      <c r="N325">
        <f>IF(AND( Table15[[#This Row],[Salary]] &gt;= 80000, OR(Table15[[#This Row],[Last_performance_rating]] = "C", Table15[[#This Row],[Last_performance_rating]] = "PIP")) =  TRUE, 1, 0)</f>
        <v>0</v>
      </c>
    </row>
    <row r="326" spans="1:14" x14ac:dyDescent="0.25">
      <c r="A326" s="2">
        <v>10194</v>
      </c>
      <c r="B326" s="22">
        <v>19753</v>
      </c>
      <c r="C326" s="1" t="s">
        <v>1146</v>
      </c>
      <c r="D326" s="1" t="s">
        <v>1147</v>
      </c>
      <c r="E326" s="1" t="s">
        <v>33</v>
      </c>
      <c r="F326" s="22">
        <v>32643</v>
      </c>
      <c r="G326" s="1">
        <v>3</v>
      </c>
      <c r="H326" s="1" t="s">
        <v>29</v>
      </c>
      <c r="I326" s="1">
        <v>0</v>
      </c>
      <c r="J326" s="1"/>
      <c r="K326" s="24">
        <v>64941</v>
      </c>
      <c r="L326" s="1" t="s">
        <v>108</v>
      </c>
      <c r="M326" s="3" t="s">
        <v>41</v>
      </c>
      <c r="N326">
        <f>IF(AND( Table15[[#This Row],[Salary]] &gt;= 80000, OR(Table15[[#This Row],[Last_performance_rating]] = "C", Table15[[#This Row],[Last_performance_rating]] = "PIP")) =  TRUE, 1, 0)</f>
        <v>0</v>
      </c>
    </row>
    <row r="327" spans="1:14" x14ac:dyDescent="0.25">
      <c r="A327" s="2">
        <v>37176</v>
      </c>
      <c r="B327" s="22">
        <v>20149</v>
      </c>
      <c r="C327" s="1" t="s">
        <v>1150</v>
      </c>
      <c r="D327" s="1" t="s">
        <v>1151</v>
      </c>
      <c r="E327" s="1" t="s">
        <v>13</v>
      </c>
      <c r="F327" s="22">
        <v>32167</v>
      </c>
      <c r="G327" s="1">
        <v>10</v>
      </c>
      <c r="H327" s="1" t="s">
        <v>15</v>
      </c>
      <c r="I327" s="1">
        <v>0</v>
      </c>
      <c r="J327" s="1"/>
      <c r="K327" s="24">
        <v>45396</v>
      </c>
      <c r="L327" s="1" t="s">
        <v>24</v>
      </c>
      <c r="M327" s="3" t="s">
        <v>18</v>
      </c>
      <c r="N327">
        <f>IF(AND( Table15[[#This Row],[Salary]] &gt;= 80000, OR(Table15[[#This Row],[Last_performance_rating]] = "C", Table15[[#This Row],[Last_performance_rating]] = "PIP")) =  TRUE, 1, 0)</f>
        <v>0</v>
      </c>
    </row>
    <row r="328" spans="1:14" x14ac:dyDescent="0.25">
      <c r="A328" s="2">
        <v>10195</v>
      </c>
      <c r="B328" s="22">
        <v>23328</v>
      </c>
      <c r="C328" s="1" t="s">
        <v>1152</v>
      </c>
      <c r="D328" s="1" t="s">
        <v>1153</v>
      </c>
      <c r="E328" s="1" t="s">
        <v>13</v>
      </c>
      <c r="F328" s="22">
        <v>31093</v>
      </c>
      <c r="G328" s="1">
        <v>4</v>
      </c>
      <c r="H328" s="1" t="s">
        <v>29</v>
      </c>
      <c r="I328" s="1">
        <v>0</v>
      </c>
      <c r="J328" s="1"/>
      <c r="K328" s="24">
        <v>40000</v>
      </c>
      <c r="L328" s="1" t="s">
        <v>24</v>
      </c>
      <c r="M328" s="3" t="s">
        <v>18</v>
      </c>
      <c r="N328">
        <f>IF(AND( Table15[[#This Row],[Salary]] &gt;= 80000, OR(Table15[[#This Row],[Last_performance_rating]] = "C", Table15[[#This Row],[Last_performance_rating]] = "PIP")) =  TRUE, 1, 0)</f>
        <v>0</v>
      </c>
    </row>
    <row r="329" spans="1:14" x14ac:dyDescent="0.25">
      <c r="A329" s="2">
        <v>10196</v>
      </c>
      <c r="B329" s="22">
        <v>19751</v>
      </c>
      <c r="C329" s="1" t="s">
        <v>1156</v>
      </c>
      <c r="D329" s="1" t="s">
        <v>1157</v>
      </c>
      <c r="E329" s="1" t="s">
        <v>13</v>
      </c>
      <c r="F329" s="22">
        <v>34654</v>
      </c>
      <c r="G329" s="1">
        <v>6</v>
      </c>
      <c r="H329" s="1" t="s">
        <v>35</v>
      </c>
      <c r="I329" s="1">
        <v>0</v>
      </c>
      <c r="J329" s="1"/>
      <c r="K329" s="24">
        <v>86671</v>
      </c>
      <c r="L329" s="1" t="s">
        <v>108</v>
      </c>
      <c r="M329" s="3" t="s">
        <v>41</v>
      </c>
      <c r="N329">
        <f>IF(AND( Table15[[#This Row],[Salary]] &gt;= 80000, OR(Table15[[#This Row],[Last_performance_rating]] = "C", Table15[[#This Row],[Last_performance_rating]] = "PIP")) =  TRUE, 1, 0)</f>
        <v>0</v>
      </c>
    </row>
    <row r="330" spans="1:14" x14ac:dyDescent="0.25">
      <c r="A330" s="2">
        <v>109820</v>
      </c>
      <c r="B330" s="22">
        <v>19309</v>
      </c>
      <c r="C330" s="1" t="s">
        <v>1160</v>
      </c>
      <c r="D330" s="1" t="s">
        <v>1161</v>
      </c>
      <c r="E330" s="1" t="s">
        <v>33</v>
      </c>
      <c r="F330" s="22">
        <v>31759</v>
      </c>
      <c r="G330" s="1">
        <v>1</v>
      </c>
      <c r="H330" s="1" t="s">
        <v>15</v>
      </c>
      <c r="I330" s="1">
        <v>0</v>
      </c>
      <c r="J330" s="1"/>
      <c r="K330" s="24">
        <v>40000</v>
      </c>
      <c r="L330" s="1" t="s">
        <v>17</v>
      </c>
      <c r="M330" s="3" t="s">
        <v>66</v>
      </c>
      <c r="N330">
        <f>IF(AND( Table15[[#This Row],[Salary]] &gt;= 80000, OR(Table15[[#This Row],[Last_performance_rating]] = "C", Table15[[#This Row],[Last_performance_rating]] = "PIP")) =  TRUE, 1, 0)</f>
        <v>0</v>
      </c>
    </row>
    <row r="331" spans="1:14" x14ac:dyDescent="0.25">
      <c r="A331" s="2">
        <v>10197</v>
      </c>
      <c r="B331" s="22">
        <v>23229</v>
      </c>
      <c r="C331" s="1" t="s">
        <v>1164</v>
      </c>
      <c r="D331" s="1" t="s">
        <v>1165</v>
      </c>
      <c r="E331" s="1" t="s">
        <v>33</v>
      </c>
      <c r="F331" s="22">
        <v>34295</v>
      </c>
      <c r="G331" s="1">
        <v>2</v>
      </c>
      <c r="H331" s="1" t="s">
        <v>35</v>
      </c>
      <c r="I331" s="1">
        <v>0</v>
      </c>
      <c r="J331" s="1"/>
      <c r="K331" s="24">
        <v>40000</v>
      </c>
      <c r="L331" s="1" t="s">
        <v>17</v>
      </c>
      <c r="M331" s="3" t="s">
        <v>18</v>
      </c>
      <c r="N331">
        <f>IF(AND( Table15[[#This Row],[Salary]] &gt;= 80000, OR(Table15[[#This Row],[Last_performance_rating]] = "C", Table15[[#This Row],[Last_performance_rating]] = "PIP")) =  TRUE, 1, 0)</f>
        <v>0</v>
      </c>
    </row>
    <row r="332" spans="1:14" x14ac:dyDescent="0.25">
      <c r="A332" s="2">
        <v>10198</v>
      </c>
      <c r="B332" s="22">
        <v>19507</v>
      </c>
      <c r="C332" s="1" t="s">
        <v>1168</v>
      </c>
      <c r="D332" s="1" t="s">
        <v>1169</v>
      </c>
      <c r="E332" s="1" t="s">
        <v>13</v>
      </c>
      <c r="F332" s="22">
        <v>31290</v>
      </c>
      <c r="G332" s="1">
        <v>10</v>
      </c>
      <c r="H332" s="1" t="s">
        <v>29</v>
      </c>
      <c r="I332" s="1">
        <v>0</v>
      </c>
      <c r="J332" s="1"/>
      <c r="K332" s="24">
        <v>44076</v>
      </c>
      <c r="L332" s="1" t="s">
        <v>17</v>
      </c>
      <c r="M332" s="3" t="s">
        <v>18</v>
      </c>
      <c r="N332">
        <f>IF(AND( Table15[[#This Row],[Salary]] &gt;= 80000, OR(Table15[[#This Row],[Last_performance_rating]] = "C", Table15[[#This Row],[Last_performance_rating]] = "PIP")) =  TRUE, 1, 0)</f>
        <v>0</v>
      </c>
    </row>
    <row r="333" spans="1:14" x14ac:dyDescent="0.25">
      <c r="A333" s="2">
        <v>246896</v>
      </c>
      <c r="B333" s="22">
        <v>21258</v>
      </c>
      <c r="C333" s="1" t="s">
        <v>1172</v>
      </c>
      <c r="D333" s="1" t="s">
        <v>1173</v>
      </c>
      <c r="E333" s="1" t="s">
        <v>33</v>
      </c>
      <c r="F333" s="22">
        <v>35270</v>
      </c>
      <c r="G333" s="1">
        <v>6</v>
      </c>
      <c r="H333" s="1" t="s">
        <v>29</v>
      </c>
      <c r="I333" s="1">
        <v>0</v>
      </c>
      <c r="J333" s="1"/>
      <c r="K333" s="24">
        <v>60075</v>
      </c>
      <c r="L333" s="1" t="s">
        <v>24</v>
      </c>
      <c r="M333" s="3" t="s">
        <v>55</v>
      </c>
      <c r="N333">
        <f>IF(AND( Table15[[#This Row],[Salary]] &gt;= 80000, OR(Table15[[#This Row],[Last_performance_rating]] = "C", Table15[[#This Row],[Last_performance_rating]] = "PIP")) =  TRUE, 1, 0)</f>
        <v>0</v>
      </c>
    </row>
    <row r="334" spans="1:14" x14ac:dyDescent="0.25">
      <c r="A334" s="2">
        <v>10199</v>
      </c>
      <c r="B334" s="22">
        <v>21647</v>
      </c>
      <c r="C334" s="1" t="s">
        <v>1175</v>
      </c>
      <c r="D334" s="1" t="s">
        <v>1176</v>
      </c>
      <c r="E334" s="1" t="s">
        <v>13</v>
      </c>
      <c r="F334" s="22">
        <v>35549</v>
      </c>
      <c r="G334" s="1">
        <v>8</v>
      </c>
      <c r="H334" s="1" t="s">
        <v>15</v>
      </c>
      <c r="I334" s="1">
        <v>0</v>
      </c>
      <c r="J334" s="1"/>
      <c r="K334" s="24">
        <v>42042</v>
      </c>
      <c r="L334" s="1" t="s">
        <v>40</v>
      </c>
      <c r="M334" s="3" t="s">
        <v>41</v>
      </c>
      <c r="N334">
        <f>IF(AND( Table15[[#This Row],[Salary]] &gt;= 80000, OR(Table15[[#This Row],[Last_performance_rating]] = "C", Table15[[#This Row],[Last_performance_rating]] = "PIP")) =  TRUE, 1, 0)</f>
        <v>0</v>
      </c>
    </row>
    <row r="335" spans="1:14" x14ac:dyDescent="0.25">
      <c r="A335" s="2">
        <v>10200</v>
      </c>
      <c r="B335" s="22">
        <v>22646</v>
      </c>
      <c r="C335" s="1" t="s">
        <v>1178</v>
      </c>
      <c r="D335" s="1" t="s">
        <v>416</v>
      </c>
      <c r="E335" s="1" t="s">
        <v>13</v>
      </c>
      <c r="F335" s="22">
        <v>31336</v>
      </c>
      <c r="G335" s="1">
        <v>3</v>
      </c>
      <c r="H335" s="1" t="s">
        <v>35</v>
      </c>
      <c r="I335" s="1">
        <v>0</v>
      </c>
      <c r="J335" s="1"/>
      <c r="K335" s="24">
        <v>46879</v>
      </c>
      <c r="L335" s="1" t="s">
        <v>24</v>
      </c>
      <c r="M335" s="3" t="s">
        <v>18</v>
      </c>
      <c r="N335">
        <f>IF(AND( Table15[[#This Row],[Salary]] &gt;= 80000, OR(Table15[[#This Row],[Last_performance_rating]] = "C", Table15[[#This Row],[Last_performance_rating]] = "PIP")) =  TRUE, 1, 0)</f>
        <v>0</v>
      </c>
    </row>
    <row r="336" spans="1:14" x14ac:dyDescent="0.25">
      <c r="A336" s="2">
        <v>10200</v>
      </c>
      <c r="B336" s="22">
        <v>22646</v>
      </c>
      <c r="C336" s="1" t="s">
        <v>1178</v>
      </c>
      <c r="D336" s="1" t="s">
        <v>416</v>
      </c>
      <c r="E336" s="1" t="s">
        <v>13</v>
      </c>
      <c r="F336" s="22">
        <v>31336</v>
      </c>
      <c r="G336" s="1">
        <v>3</v>
      </c>
      <c r="H336" s="1" t="s">
        <v>35</v>
      </c>
      <c r="I336" s="1">
        <v>0</v>
      </c>
      <c r="J336" s="1"/>
      <c r="K336" s="24">
        <v>46879</v>
      </c>
      <c r="L336" s="1" t="s">
        <v>71</v>
      </c>
      <c r="M336" s="3" t="s">
        <v>18</v>
      </c>
      <c r="N336">
        <f>IF(AND( Table15[[#This Row],[Salary]] &gt;= 80000, OR(Table15[[#This Row],[Last_performance_rating]] = "C", Table15[[#This Row],[Last_performance_rating]] = "PIP")) =  TRUE, 1, 0)</f>
        <v>0</v>
      </c>
    </row>
    <row r="337" spans="1:14" x14ac:dyDescent="0.25">
      <c r="A337" s="2">
        <v>10201</v>
      </c>
      <c r="B337" s="22">
        <v>20804</v>
      </c>
      <c r="C337" s="1" t="s">
        <v>1180</v>
      </c>
      <c r="D337" s="1" t="s">
        <v>1181</v>
      </c>
      <c r="E337" s="1" t="s">
        <v>33</v>
      </c>
      <c r="F337" s="22">
        <v>31738</v>
      </c>
      <c r="G337" s="1">
        <v>1</v>
      </c>
      <c r="H337" s="1" t="s">
        <v>370</v>
      </c>
      <c r="I337" s="1">
        <v>0</v>
      </c>
      <c r="J337" s="1"/>
      <c r="K337" s="24">
        <v>40000</v>
      </c>
      <c r="L337" s="1" t="s">
        <v>17</v>
      </c>
      <c r="M337" s="3" t="s">
        <v>18</v>
      </c>
      <c r="N337">
        <f>IF(AND( Table15[[#This Row],[Salary]] &gt;= 80000, OR(Table15[[#This Row],[Last_performance_rating]] = "C", Table15[[#This Row],[Last_performance_rating]] = "PIP")) =  TRUE, 1, 0)</f>
        <v>0</v>
      </c>
    </row>
    <row r="338" spans="1:14" x14ac:dyDescent="0.25">
      <c r="A338" s="2">
        <v>217945</v>
      </c>
      <c r="B338" s="22">
        <v>19437</v>
      </c>
      <c r="C338" s="1" t="s">
        <v>1184</v>
      </c>
      <c r="D338" s="1" t="s">
        <v>1185</v>
      </c>
      <c r="E338" s="1" t="s">
        <v>13</v>
      </c>
      <c r="F338" s="22">
        <v>31746</v>
      </c>
      <c r="G338" s="1">
        <v>7</v>
      </c>
      <c r="H338" s="1" t="s">
        <v>138</v>
      </c>
      <c r="I338" s="1">
        <v>0</v>
      </c>
      <c r="J338" s="1"/>
      <c r="K338" s="24">
        <v>88260</v>
      </c>
      <c r="L338" s="1" t="s">
        <v>40</v>
      </c>
      <c r="M338" s="3" t="s">
        <v>102</v>
      </c>
      <c r="N338">
        <f>IF(AND( Table15[[#This Row],[Salary]] &gt;= 80000, OR(Table15[[#This Row],[Last_performance_rating]] = "C", Table15[[#This Row],[Last_performance_rating]] = "PIP")) =  TRUE, 1, 0)</f>
        <v>1</v>
      </c>
    </row>
    <row r="339" spans="1:14" x14ac:dyDescent="0.25">
      <c r="A339" s="2">
        <v>10202</v>
      </c>
      <c r="B339" s="22">
        <v>20459</v>
      </c>
      <c r="C339" s="1" t="s">
        <v>1188</v>
      </c>
      <c r="D339" s="1" t="s">
        <v>912</v>
      </c>
      <c r="E339" s="1" t="s">
        <v>13</v>
      </c>
      <c r="F339" s="22">
        <v>33517</v>
      </c>
      <c r="G339" s="1">
        <v>5</v>
      </c>
      <c r="H339" s="1" t="s">
        <v>29</v>
      </c>
      <c r="I339" s="1">
        <v>0</v>
      </c>
      <c r="J339" s="1"/>
      <c r="K339" s="24">
        <v>47338</v>
      </c>
      <c r="L339" s="1" t="s">
        <v>17</v>
      </c>
      <c r="M339" s="3" t="s">
        <v>18</v>
      </c>
      <c r="N339">
        <f>IF(AND( Table15[[#This Row],[Salary]] &gt;= 80000, OR(Table15[[#This Row],[Last_performance_rating]] = "C", Table15[[#This Row],[Last_performance_rating]] = "PIP")) =  TRUE, 1, 0)</f>
        <v>0</v>
      </c>
    </row>
    <row r="340" spans="1:14" x14ac:dyDescent="0.25">
      <c r="A340" s="2">
        <v>10203</v>
      </c>
      <c r="B340" s="22">
        <v>20297</v>
      </c>
      <c r="C340" s="1" t="s">
        <v>1191</v>
      </c>
      <c r="D340" s="1" t="s">
        <v>305</v>
      </c>
      <c r="E340" s="1" t="s">
        <v>13</v>
      </c>
      <c r="F340" s="22">
        <v>32604</v>
      </c>
      <c r="G340" s="1">
        <v>5</v>
      </c>
      <c r="H340" s="1" t="s">
        <v>29</v>
      </c>
      <c r="I340" s="1">
        <v>0</v>
      </c>
      <c r="J340" s="1"/>
      <c r="K340" s="24">
        <v>40000</v>
      </c>
      <c r="L340" s="1" t="s">
        <v>61</v>
      </c>
      <c r="M340" s="3" t="s">
        <v>41</v>
      </c>
      <c r="N340">
        <f>IF(AND( Table15[[#This Row],[Salary]] &gt;= 80000, OR(Table15[[#This Row],[Last_performance_rating]] = "C", Table15[[#This Row],[Last_performance_rating]] = "PIP")) =  TRUE, 1, 0)</f>
        <v>0</v>
      </c>
    </row>
    <row r="341" spans="1:14" x14ac:dyDescent="0.25">
      <c r="A341" s="2">
        <v>109600</v>
      </c>
      <c r="B341" s="22">
        <v>20191</v>
      </c>
      <c r="C341" s="1" t="s">
        <v>1194</v>
      </c>
      <c r="D341" s="1" t="s">
        <v>1195</v>
      </c>
      <c r="E341" s="1" t="s">
        <v>13</v>
      </c>
      <c r="F341" s="22">
        <v>33533</v>
      </c>
      <c r="G341" s="1">
        <v>9</v>
      </c>
      <c r="H341" s="1" t="s">
        <v>29</v>
      </c>
      <c r="I341" s="1">
        <v>0</v>
      </c>
      <c r="J341" s="1"/>
      <c r="K341" s="24">
        <v>78057</v>
      </c>
      <c r="L341" s="1" t="s">
        <v>40</v>
      </c>
      <c r="M341" s="3" t="s">
        <v>41</v>
      </c>
      <c r="N341">
        <f>IF(AND( Table15[[#This Row],[Salary]] &gt;= 80000, OR(Table15[[#This Row],[Last_performance_rating]] = "C", Table15[[#This Row],[Last_performance_rating]] = "PIP")) =  TRUE, 1, 0)</f>
        <v>0</v>
      </c>
    </row>
    <row r="342" spans="1:14" x14ac:dyDescent="0.25">
      <c r="A342" s="2">
        <v>10204</v>
      </c>
      <c r="B342" s="22">
        <v>20798</v>
      </c>
      <c r="C342" s="1" t="s">
        <v>242</v>
      </c>
      <c r="D342" s="1" t="s">
        <v>1197</v>
      </c>
      <c r="E342" s="1" t="s">
        <v>33</v>
      </c>
      <c r="F342" s="22">
        <v>31750</v>
      </c>
      <c r="G342" s="1">
        <v>7</v>
      </c>
      <c r="H342" s="1" t="s">
        <v>15</v>
      </c>
      <c r="I342" s="1">
        <v>0</v>
      </c>
      <c r="J342" s="1"/>
      <c r="K342" s="24">
        <v>40000</v>
      </c>
      <c r="L342" s="1" t="s">
        <v>17</v>
      </c>
      <c r="M342" s="3" t="s">
        <v>55</v>
      </c>
      <c r="N342">
        <f>IF(AND( Table15[[#This Row],[Salary]] &gt;= 80000, OR(Table15[[#This Row],[Last_performance_rating]] = "C", Table15[[#This Row],[Last_performance_rating]] = "PIP")) =  TRUE, 1, 0)</f>
        <v>0</v>
      </c>
    </row>
    <row r="343" spans="1:14" x14ac:dyDescent="0.25">
      <c r="A343" s="2">
        <v>10205</v>
      </c>
      <c r="B343" s="22">
        <v>19499</v>
      </c>
      <c r="C343" s="1" t="s">
        <v>1199</v>
      </c>
      <c r="D343" s="1" t="s">
        <v>1200</v>
      </c>
      <c r="E343" s="1" t="s">
        <v>33</v>
      </c>
      <c r="F343" s="22">
        <v>34204</v>
      </c>
      <c r="G343" s="1">
        <v>4</v>
      </c>
      <c r="H343" s="1" t="s">
        <v>15</v>
      </c>
      <c r="I343" s="1">
        <v>0</v>
      </c>
      <c r="J343" s="1"/>
      <c r="K343" s="24">
        <v>40000</v>
      </c>
      <c r="L343" s="1" t="s">
        <v>24</v>
      </c>
      <c r="M343" s="3" t="s">
        <v>18</v>
      </c>
      <c r="N343">
        <f>IF(AND( Table15[[#This Row],[Salary]] &gt;= 80000, OR(Table15[[#This Row],[Last_performance_rating]] = "C", Table15[[#This Row],[Last_performance_rating]] = "PIP")) =  TRUE, 1, 0)</f>
        <v>0</v>
      </c>
    </row>
    <row r="344" spans="1:14" x14ac:dyDescent="0.25">
      <c r="A344" s="2">
        <v>230858</v>
      </c>
      <c r="B344" s="22">
        <v>22049</v>
      </c>
      <c r="C344" s="1" t="s">
        <v>1203</v>
      </c>
      <c r="D344" s="1" t="s">
        <v>1204</v>
      </c>
      <c r="E344" s="1" t="s">
        <v>33</v>
      </c>
      <c r="F344" s="22">
        <v>33114</v>
      </c>
      <c r="G344" s="1">
        <v>4</v>
      </c>
      <c r="H344" s="1" t="s">
        <v>29</v>
      </c>
      <c r="I344" s="1">
        <v>0</v>
      </c>
      <c r="J344" s="1"/>
      <c r="K344" s="24">
        <v>57381</v>
      </c>
      <c r="L344" s="1" t="s">
        <v>125</v>
      </c>
      <c r="M344" s="3" t="s">
        <v>41</v>
      </c>
      <c r="N344">
        <f>IF(AND( Table15[[#This Row],[Salary]] &gt;= 80000, OR(Table15[[#This Row],[Last_performance_rating]] = "C", Table15[[#This Row],[Last_performance_rating]] = "PIP")) =  TRUE, 1, 0)</f>
        <v>0</v>
      </c>
    </row>
    <row r="345" spans="1:14" x14ac:dyDescent="0.25">
      <c r="A345" s="2">
        <v>10206</v>
      </c>
      <c r="B345" s="22">
        <v>22178</v>
      </c>
      <c r="C345" s="1" t="s">
        <v>1206</v>
      </c>
      <c r="D345" s="1" t="s">
        <v>1207</v>
      </c>
      <c r="E345" s="1" t="s">
        <v>33</v>
      </c>
      <c r="F345" s="22">
        <v>32252</v>
      </c>
      <c r="G345" s="1">
        <v>8</v>
      </c>
      <c r="H345" s="1" t="s">
        <v>29</v>
      </c>
      <c r="I345" s="1">
        <v>0</v>
      </c>
      <c r="J345" s="1"/>
      <c r="K345" s="24">
        <v>40000</v>
      </c>
      <c r="L345" s="1" t="s">
        <v>17</v>
      </c>
      <c r="M345" s="3" t="s">
        <v>156</v>
      </c>
      <c r="N345">
        <f>IF(AND( Table15[[#This Row],[Salary]] &gt;= 80000, OR(Table15[[#This Row],[Last_performance_rating]] = "C", Table15[[#This Row],[Last_performance_rating]] = "PIP")) =  TRUE, 1, 0)</f>
        <v>0</v>
      </c>
    </row>
    <row r="346" spans="1:14" x14ac:dyDescent="0.25">
      <c r="A346" s="2">
        <v>10207</v>
      </c>
      <c r="B346" s="22">
        <v>20237</v>
      </c>
      <c r="C346" s="1" t="s">
        <v>1210</v>
      </c>
      <c r="D346" s="1" t="s">
        <v>1211</v>
      </c>
      <c r="E346" s="1" t="s">
        <v>33</v>
      </c>
      <c r="F346" s="22">
        <v>33888</v>
      </c>
      <c r="G346" s="1">
        <v>8</v>
      </c>
      <c r="H346" s="1" t="s">
        <v>29</v>
      </c>
      <c r="I346" s="1">
        <v>0</v>
      </c>
      <c r="J346" s="1"/>
      <c r="K346" s="24">
        <v>52783</v>
      </c>
      <c r="L346" s="1" t="s">
        <v>17</v>
      </c>
      <c r="M346" s="3" t="s">
        <v>18</v>
      </c>
      <c r="N346">
        <f>IF(AND( Table15[[#This Row],[Salary]] &gt;= 80000, OR(Table15[[#This Row],[Last_performance_rating]] = "C", Table15[[#This Row],[Last_performance_rating]] = "PIP")) =  TRUE, 1, 0)</f>
        <v>0</v>
      </c>
    </row>
    <row r="347" spans="1:14" x14ac:dyDescent="0.25">
      <c r="A347" s="2">
        <v>279661</v>
      </c>
      <c r="B347" s="22">
        <v>19792</v>
      </c>
      <c r="C347" s="1" t="s">
        <v>900</v>
      </c>
      <c r="D347" s="1" t="s">
        <v>1214</v>
      </c>
      <c r="E347" s="1" t="s">
        <v>13</v>
      </c>
      <c r="F347" s="22">
        <v>31531</v>
      </c>
      <c r="G347" s="1">
        <v>6</v>
      </c>
      <c r="H347" s="1" t="s">
        <v>138</v>
      </c>
      <c r="I347" s="1">
        <v>0</v>
      </c>
      <c r="J347" s="1"/>
      <c r="K347" s="24">
        <v>58554</v>
      </c>
      <c r="L347" s="1" t="s">
        <v>40</v>
      </c>
      <c r="M347" s="3" t="s">
        <v>102</v>
      </c>
      <c r="N347">
        <f>IF(AND( Table15[[#This Row],[Salary]] &gt;= 80000, OR(Table15[[#This Row],[Last_performance_rating]] = "C", Table15[[#This Row],[Last_performance_rating]] = "PIP")) =  TRUE, 1, 0)</f>
        <v>0</v>
      </c>
    </row>
    <row r="348" spans="1:14" x14ac:dyDescent="0.25">
      <c r="A348" s="2">
        <v>10208</v>
      </c>
      <c r="B348" s="22">
        <v>21917</v>
      </c>
      <c r="C348" s="1" t="s">
        <v>1217</v>
      </c>
      <c r="D348" s="1" t="s">
        <v>1218</v>
      </c>
      <c r="E348" s="1" t="s">
        <v>13</v>
      </c>
      <c r="F348" s="22">
        <v>33595</v>
      </c>
      <c r="G348" s="1">
        <v>7</v>
      </c>
      <c r="H348" s="1" t="s">
        <v>138</v>
      </c>
      <c r="I348" s="1">
        <v>0</v>
      </c>
      <c r="J348" s="1"/>
      <c r="K348" s="24">
        <v>61890</v>
      </c>
      <c r="L348" s="1" t="s">
        <v>125</v>
      </c>
      <c r="M348" s="3" t="s">
        <v>41</v>
      </c>
      <c r="N348">
        <f>IF(AND( Table15[[#This Row],[Salary]] &gt;= 80000, OR(Table15[[#This Row],[Last_performance_rating]] = "C", Table15[[#This Row],[Last_performance_rating]] = "PIP")) =  TRUE, 1, 0)</f>
        <v>0</v>
      </c>
    </row>
    <row r="349" spans="1:14" x14ac:dyDescent="0.25">
      <c r="A349" s="2">
        <v>10209</v>
      </c>
      <c r="B349" s="22">
        <v>20801</v>
      </c>
      <c r="C349" s="1" t="s">
        <v>1221</v>
      </c>
      <c r="D349" s="1" t="s">
        <v>1222</v>
      </c>
      <c r="E349" s="1" t="s">
        <v>33</v>
      </c>
      <c r="F349" s="22">
        <v>33565</v>
      </c>
      <c r="G349" s="1">
        <v>10</v>
      </c>
      <c r="H349" s="1" t="s">
        <v>15</v>
      </c>
      <c r="I349" s="1">
        <v>0</v>
      </c>
      <c r="J349" s="1"/>
      <c r="K349" s="24">
        <v>57996</v>
      </c>
      <c r="L349" s="1" t="s">
        <v>108</v>
      </c>
      <c r="M349" s="3" t="s">
        <v>41</v>
      </c>
      <c r="N349">
        <f>IF(AND( Table15[[#This Row],[Salary]] &gt;= 80000, OR(Table15[[#This Row],[Last_performance_rating]] = "C", Table15[[#This Row],[Last_performance_rating]] = "PIP")) =  TRUE, 1, 0)</f>
        <v>0</v>
      </c>
    </row>
    <row r="350" spans="1:14" x14ac:dyDescent="0.25">
      <c r="A350" s="2">
        <v>10209</v>
      </c>
      <c r="B350" s="22">
        <v>20801</v>
      </c>
      <c r="C350" s="1" t="s">
        <v>1221</v>
      </c>
      <c r="D350" s="1" t="s">
        <v>1222</v>
      </c>
      <c r="E350" s="1" t="s">
        <v>33</v>
      </c>
      <c r="F350" s="22">
        <v>33565</v>
      </c>
      <c r="G350" s="1">
        <v>10</v>
      </c>
      <c r="H350" s="1" t="s">
        <v>15</v>
      </c>
      <c r="I350" s="1">
        <v>0</v>
      </c>
      <c r="J350" s="1"/>
      <c r="K350" s="24">
        <v>57996</v>
      </c>
      <c r="L350" s="1" t="s">
        <v>40</v>
      </c>
      <c r="M350" s="3" t="s">
        <v>41</v>
      </c>
      <c r="N350">
        <f>IF(AND( Table15[[#This Row],[Salary]] &gt;= 80000, OR(Table15[[#This Row],[Last_performance_rating]] = "C", Table15[[#This Row],[Last_performance_rating]] = "PIP")) =  TRUE, 1, 0)</f>
        <v>0</v>
      </c>
    </row>
    <row r="351" spans="1:14" x14ac:dyDescent="0.25">
      <c r="A351" s="2">
        <v>287414</v>
      </c>
      <c r="B351" s="22">
        <v>20975</v>
      </c>
      <c r="C351" s="1" t="s">
        <v>1224</v>
      </c>
      <c r="D351" s="1" t="s">
        <v>1225</v>
      </c>
      <c r="E351" s="1" t="s">
        <v>13</v>
      </c>
      <c r="F351" s="22">
        <v>32325</v>
      </c>
      <c r="G351" s="1">
        <v>4</v>
      </c>
      <c r="H351" s="1" t="s">
        <v>35</v>
      </c>
      <c r="I351" s="1">
        <v>0</v>
      </c>
      <c r="J351" s="1"/>
      <c r="K351" s="24">
        <v>51536</v>
      </c>
      <c r="L351" s="1" t="s">
        <v>24</v>
      </c>
      <c r="M351" s="3" t="s">
        <v>18</v>
      </c>
      <c r="N351">
        <f>IF(AND( Table15[[#This Row],[Salary]] &gt;= 80000, OR(Table15[[#This Row],[Last_performance_rating]] = "C", Table15[[#This Row],[Last_performance_rating]] = "PIP")) =  TRUE, 1, 0)</f>
        <v>0</v>
      </c>
    </row>
    <row r="352" spans="1:14" x14ac:dyDescent="0.25">
      <c r="A352" s="2">
        <v>10210</v>
      </c>
      <c r="B352" s="22">
        <v>21209</v>
      </c>
      <c r="C352" s="1" t="s">
        <v>1228</v>
      </c>
      <c r="D352" s="1" t="s">
        <v>1229</v>
      </c>
      <c r="E352" s="1" t="s">
        <v>13</v>
      </c>
      <c r="F352" s="22">
        <v>34464</v>
      </c>
      <c r="G352" s="1">
        <v>3</v>
      </c>
      <c r="H352" s="1" t="s">
        <v>35</v>
      </c>
      <c r="I352" s="1">
        <v>1</v>
      </c>
      <c r="J352" s="22">
        <v>37152</v>
      </c>
      <c r="K352" s="24">
        <v>40000</v>
      </c>
      <c r="L352" s="1" t="s">
        <v>89</v>
      </c>
      <c r="M352" s="3" t="s">
        <v>41</v>
      </c>
      <c r="N352">
        <f>IF(AND( Table15[[#This Row],[Salary]] &gt;= 80000, OR(Table15[[#This Row],[Last_performance_rating]] = "C", Table15[[#This Row],[Last_performance_rating]] = "PIP")) =  TRUE, 1, 0)</f>
        <v>0</v>
      </c>
    </row>
    <row r="353" spans="1:14" x14ac:dyDescent="0.25">
      <c r="A353" s="2">
        <v>210499</v>
      </c>
      <c r="B353" s="22">
        <v>19931</v>
      </c>
      <c r="C353" s="1" t="s">
        <v>1233</v>
      </c>
      <c r="D353" s="1" t="s">
        <v>1234</v>
      </c>
      <c r="E353" s="1" t="s">
        <v>13</v>
      </c>
      <c r="F353" s="22">
        <v>32456</v>
      </c>
      <c r="G353" s="1">
        <v>5</v>
      </c>
      <c r="H353" s="1" t="s">
        <v>15</v>
      </c>
      <c r="I353" s="1">
        <v>0</v>
      </c>
      <c r="J353" s="1"/>
      <c r="K353" s="24">
        <v>71701</v>
      </c>
      <c r="L353" s="1" t="s">
        <v>125</v>
      </c>
      <c r="M353" s="3" t="s">
        <v>41</v>
      </c>
      <c r="N353">
        <f>IF(AND( Table15[[#This Row],[Salary]] &gt;= 80000, OR(Table15[[#This Row],[Last_performance_rating]] = "C", Table15[[#This Row],[Last_performance_rating]] = "PIP")) =  TRUE, 1, 0)</f>
        <v>0</v>
      </c>
    </row>
    <row r="354" spans="1:14" x14ac:dyDescent="0.25">
      <c r="A354" s="2">
        <v>10211</v>
      </c>
      <c r="B354" s="22">
        <v>23594</v>
      </c>
      <c r="C354" s="1" t="s">
        <v>1237</v>
      </c>
      <c r="D354" s="1" t="s">
        <v>1238</v>
      </c>
      <c r="E354" s="1" t="s">
        <v>33</v>
      </c>
      <c r="F354" s="22">
        <v>32830</v>
      </c>
      <c r="G354" s="1">
        <v>7</v>
      </c>
      <c r="H354" s="1" t="s">
        <v>35</v>
      </c>
      <c r="I354" s="1">
        <v>0</v>
      </c>
      <c r="J354" s="1"/>
      <c r="K354" s="24">
        <v>49032</v>
      </c>
      <c r="L354" s="1" t="s">
        <v>17</v>
      </c>
      <c r="M354" s="3" t="s">
        <v>18</v>
      </c>
      <c r="N354">
        <f>IF(AND( Table15[[#This Row],[Salary]] &gt;= 80000, OR(Table15[[#This Row],[Last_performance_rating]] = "C", Table15[[#This Row],[Last_performance_rating]] = "PIP")) =  TRUE, 1, 0)</f>
        <v>0</v>
      </c>
    </row>
    <row r="355" spans="1:14" x14ac:dyDescent="0.25">
      <c r="A355" s="2">
        <v>10212</v>
      </c>
      <c r="B355" s="22">
        <v>21679</v>
      </c>
      <c r="C355" s="1" t="s">
        <v>190</v>
      </c>
      <c r="D355" s="1" t="s">
        <v>1241</v>
      </c>
      <c r="E355" s="1" t="s">
        <v>13</v>
      </c>
      <c r="F355" s="22">
        <v>33065</v>
      </c>
      <c r="G355" s="1">
        <v>8</v>
      </c>
      <c r="H355" s="1" t="s">
        <v>35</v>
      </c>
      <c r="I355" s="1">
        <v>1</v>
      </c>
      <c r="J355" s="22">
        <v>34964</v>
      </c>
      <c r="K355" s="24">
        <v>65938</v>
      </c>
      <c r="L355" s="1" t="s">
        <v>17</v>
      </c>
      <c r="M355" s="3" t="s">
        <v>18</v>
      </c>
      <c r="N355">
        <f>IF(AND( Table15[[#This Row],[Salary]] &gt;= 80000, OR(Table15[[#This Row],[Last_performance_rating]] = "C", Table15[[#This Row],[Last_performance_rating]] = "PIP")) =  TRUE, 1, 0)</f>
        <v>0</v>
      </c>
    </row>
    <row r="356" spans="1:14" x14ac:dyDescent="0.25">
      <c r="A356" s="2">
        <v>268566</v>
      </c>
      <c r="B356" s="22">
        <v>22672</v>
      </c>
      <c r="C356" s="1" t="s">
        <v>1150</v>
      </c>
      <c r="D356" s="1" t="s">
        <v>1245</v>
      </c>
      <c r="E356" s="1" t="s">
        <v>13</v>
      </c>
      <c r="F356" s="22">
        <v>35524</v>
      </c>
      <c r="G356" s="1">
        <v>8</v>
      </c>
      <c r="H356" s="1" t="s">
        <v>29</v>
      </c>
      <c r="I356" s="1">
        <v>0</v>
      </c>
      <c r="J356" s="1"/>
      <c r="K356" s="24">
        <v>73481</v>
      </c>
      <c r="L356" s="1" t="s">
        <v>40</v>
      </c>
      <c r="M356" s="3" t="s">
        <v>41</v>
      </c>
      <c r="N356">
        <f>IF(AND( Table15[[#This Row],[Salary]] &gt;= 80000, OR(Table15[[#This Row],[Last_performance_rating]] = "C", Table15[[#This Row],[Last_performance_rating]] = "PIP")) =  TRUE, 1, 0)</f>
        <v>0</v>
      </c>
    </row>
    <row r="357" spans="1:14" x14ac:dyDescent="0.25">
      <c r="A357" s="2">
        <v>10213</v>
      </c>
      <c r="B357" s="22">
        <v>23521</v>
      </c>
      <c r="C357" s="1" t="s">
        <v>1248</v>
      </c>
      <c r="D357" s="1" t="s">
        <v>1249</v>
      </c>
      <c r="E357" s="1" t="s">
        <v>13</v>
      </c>
      <c r="F357" s="22">
        <v>33914</v>
      </c>
      <c r="G357" s="1">
        <v>8</v>
      </c>
      <c r="H357" s="1" t="s">
        <v>15</v>
      </c>
      <c r="I357" s="1">
        <v>0</v>
      </c>
      <c r="J357" s="1"/>
      <c r="K357" s="24">
        <v>40000</v>
      </c>
      <c r="L357" s="1" t="s">
        <v>89</v>
      </c>
      <c r="M357" s="3" t="s">
        <v>41</v>
      </c>
      <c r="N357">
        <f>IF(AND( Table15[[#This Row],[Salary]] &gt;= 80000, OR(Table15[[#This Row],[Last_performance_rating]] = "C", Table15[[#This Row],[Last_performance_rating]] = "PIP")) =  TRUE, 1, 0)</f>
        <v>0</v>
      </c>
    </row>
    <row r="358" spans="1:14" x14ac:dyDescent="0.25">
      <c r="A358" s="2">
        <v>10214</v>
      </c>
      <c r="B358" s="22">
        <v>22750</v>
      </c>
      <c r="C358" s="1" t="s">
        <v>1252</v>
      </c>
      <c r="D358" s="1" t="s">
        <v>1253</v>
      </c>
      <c r="E358" s="1" t="s">
        <v>13</v>
      </c>
      <c r="F358" s="22">
        <v>32202</v>
      </c>
      <c r="G358" s="1">
        <v>10</v>
      </c>
      <c r="H358" s="1" t="s">
        <v>29</v>
      </c>
      <c r="I358" s="1">
        <v>0</v>
      </c>
      <c r="J358" s="1"/>
      <c r="K358" s="24">
        <v>58341</v>
      </c>
      <c r="L358" s="1" t="s">
        <v>40</v>
      </c>
      <c r="M358" s="3" t="s">
        <v>102</v>
      </c>
      <c r="N358">
        <f>IF(AND( Table15[[#This Row],[Salary]] &gt;= 80000, OR(Table15[[#This Row],[Last_performance_rating]] = "C", Table15[[#This Row],[Last_performance_rating]] = "PIP")) =  TRUE, 1, 0)</f>
        <v>0</v>
      </c>
    </row>
    <row r="359" spans="1:14" x14ac:dyDescent="0.25">
      <c r="A359" s="2">
        <v>53312</v>
      </c>
      <c r="B359" s="22">
        <v>21669</v>
      </c>
      <c r="C359" s="1" t="s">
        <v>1256</v>
      </c>
      <c r="D359" s="1" t="s">
        <v>1257</v>
      </c>
      <c r="E359" s="1" t="s">
        <v>13</v>
      </c>
      <c r="F359" s="22">
        <v>32088</v>
      </c>
      <c r="G359" s="1">
        <v>5</v>
      </c>
      <c r="H359" s="1" t="s">
        <v>15</v>
      </c>
      <c r="I359" s="1">
        <v>0</v>
      </c>
      <c r="J359" s="1"/>
      <c r="K359" s="24">
        <v>70268</v>
      </c>
      <c r="L359" s="1" t="s">
        <v>40</v>
      </c>
      <c r="M359" s="3" t="s">
        <v>41</v>
      </c>
      <c r="N359">
        <f>IF(AND( Table15[[#This Row],[Salary]] &gt;= 80000, OR(Table15[[#This Row],[Last_performance_rating]] = "C", Table15[[#This Row],[Last_performance_rating]] = "PIP")) =  TRUE, 1, 0)</f>
        <v>0</v>
      </c>
    </row>
    <row r="360" spans="1:14" x14ac:dyDescent="0.25">
      <c r="A360" s="2">
        <v>10215</v>
      </c>
      <c r="B360" s="22">
        <v>19816</v>
      </c>
      <c r="C360" s="1" t="s">
        <v>1260</v>
      </c>
      <c r="D360" s="1" t="s">
        <v>1069</v>
      </c>
      <c r="E360" s="1" t="s">
        <v>13</v>
      </c>
      <c r="F360" s="22">
        <v>32069</v>
      </c>
      <c r="G360" s="1">
        <v>1</v>
      </c>
      <c r="H360" s="1" t="s">
        <v>29</v>
      </c>
      <c r="I360" s="1">
        <v>0</v>
      </c>
      <c r="J360" s="1"/>
      <c r="K360" s="24">
        <v>43944</v>
      </c>
      <c r="L360" s="1" t="s">
        <v>40</v>
      </c>
      <c r="M360" s="3" t="s">
        <v>102</v>
      </c>
      <c r="N360">
        <f>IF(AND( Table15[[#This Row],[Salary]] &gt;= 80000, OR(Table15[[#This Row],[Last_performance_rating]] = "C", Table15[[#This Row],[Last_performance_rating]] = "PIP")) =  TRUE, 1, 0)</f>
        <v>0</v>
      </c>
    </row>
    <row r="361" spans="1:14" x14ac:dyDescent="0.25">
      <c r="A361" s="2">
        <v>10216</v>
      </c>
      <c r="B361" s="22">
        <v>21382</v>
      </c>
      <c r="C361" s="1" t="s">
        <v>1263</v>
      </c>
      <c r="D361" s="1" t="s">
        <v>1264</v>
      </c>
      <c r="E361" s="1" t="s">
        <v>13</v>
      </c>
      <c r="F361" s="22">
        <v>32080</v>
      </c>
      <c r="G361" s="1">
        <v>5</v>
      </c>
      <c r="H361" s="1" t="s">
        <v>29</v>
      </c>
      <c r="I361" s="1">
        <v>1</v>
      </c>
      <c r="J361" s="22">
        <v>34282</v>
      </c>
      <c r="K361" s="24">
        <v>40000</v>
      </c>
      <c r="L361" s="1" t="s">
        <v>61</v>
      </c>
      <c r="M361" s="3" t="s">
        <v>41</v>
      </c>
      <c r="N361">
        <f>IF(AND( Table15[[#This Row],[Salary]] &gt;= 80000, OR(Table15[[#This Row],[Last_performance_rating]] = "C", Table15[[#This Row],[Last_performance_rating]] = "PIP")) =  TRUE, 1, 0)</f>
        <v>0</v>
      </c>
    </row>
    <row r="362" spans="1:14" x14ac:dyDescent="0.25">
      <c r="A362" s="2">
        <v>214747</v>
      </c>
      <c r="B362" s="22">
        <v>19878</v>
      </c>
      <c r="C362" s="1" t="s">
        <v>1268</v>
      </c>
      <c r="D362" s="1" t="s">
        <v>1269</v>
      </c>
      <c r="E362" s="1" t="s">
        <v>33</v>
      </c>
      <c r="F362" s="22">
        <v>33237</v>
      </c>
      <c r="G362" s="1">
        <v>3</v>
      </c>
      <c r="H362" s="1" t="s">
        <v>29</v>
      </c>
      <c r="I362" s="1">
        <v>1</v>
      </c>
      <c r="J362" s="22">
        <v>35540</v>
      </c>
      <c r="K362" s="24">
        <v>40000</v>
      </c>
      <c r="L362" s="1" t="s">
        <v>89</v>
      </c>
      <c r="M362" s="3" t="s">
        <v>41</v>
      </c>
      <c r="N362">
        <f>IF(AND( Table15[[#This Row],[Salary]] &gt;= 80000, OR(Table15[[#This Row],[Last_performance_rating]] = "C", Table15[[#This Row],[Last_performance_rating]] = "PIP")) =  TRUE, 1, 0)</f>
        <v>0</v>
      </c>
    </row>
    <row r="363" spans="1:14" x14ac:dyDescent="0.25">
      <c r="A363" s="2">
        <v>10217</v>
      </c>
      <c r="B363" s="22">
        <v>19912</v>
      </c>
      <c r="C363" s="1" t="s">
        <v>1273</v>
      </c>
      <c r="D363" s="1" t="s">
        <v>1274</v>
      </c>
      <c r="E363" s="1" t="s">
        <v>33</v>
      </c>
      <c r="F363" s="22">
        <v>31544</v>
      </c>
      <c r="G363" s="1">
        <v>2</v>
      </c>
      <c r="H363" s="1" t="s">
        <v>35</v>
      </c>
      <c r="I363" s="1">
        <v>0</v>
      </c>
      <c r="J363" s="1"/>
      <c r="K363" s="24">
        <v>40000</v>
      </c>
      <c r="L363" s="1" t="s">
        <v>24</v>
      </c>
      <c r="M363" s="3" t="s">
        <v>156</v>
      </c>
      <c r="N363">
        <f>IF(AND( Table15[[#This Row],[Salary]] &gt;= 80000, OR(Table15[[#This Row],[Last_performance_rating]] = "C", Table15[[#This Row],[Last_performance_rating]] = "PIP")) =  TRUE, 1, 0)</f>
        <v>0</v>
      </c>
    </row>
    <row r="364" spans="1:14" x14ac:dyDescent="0.25">
      <c r="A364" s="2">
        <v>10218</v>
      </c>
      <c r="B364" s="22">
        <v>21526</v>
      </c>
      <c r="C364" s="1" t="s">
        <v>763</v>
      </c>
      <c r="D364" s="1" t="s">
        <v>1277</v>
      </c>
      <c r="E364" s="1" t="s">
        <v>13</v>
      </c>
      <c r="F364" s="22">
        <v>35445</v>
      </c>
      <c r="G364" s="1">
        <v>5</v>
      </c>
      <c r="H364" s="1" t="s">
        <v>35</v>
      </c>
      <c r="I364" s="1">
        <v>1</v>
      </c>
      <c r="J364" s="22">
        <v>37680</v>
      </c>
      <c r="K364" s="24">
        <v>40788</v>
      </c>
      <c r="L364" s="1" t="s">
        <v>24</v>
      </c>
      <c r="M364" s="3" t="s">
        <v>18</v>
      </c>
      <c r="N364">
        <f>IF(AND( Table15[[#This Row],[Salary]] &gt;= 80000, OR(Table15[[#This Row],[Last_performance_rating]] = "C", Table15[[#This Row],[Last_performance_rating]] = "PIP")) =  TRUE, 1, 0)</f>
        <v>0</v>
      </c>
    </row>
    <row r="365" spans="1:14" x14ac:dyDescent="0.25">
      <c r="A365" s="2">
        <v>231751</v>
      </c>
      <c r="B365" s="22">
        <v>19260</v>
      </c>
      <c r="C365" s="1" t="s">
        <v>1281</v>
      </c>
      <c r="D365" s="1" t="s">
        <v>149</v>
      </c>
      <c r="E365" s="1" t="s">
        <v>33</v>
      </c>
      <c r="F365" s="22">
        <v>33933</v>
      </c>
      <c r="G365" s="1">
        <v>9</v>
      </c>
      <c r="H365" s="1" t="s">
        <v>15</v>
      </c>
      <c r="I365" s="1">
        <v>0</v>
      </c>
      <c r="J365" s="1"/>
      <c r="K365" s="24">
        <v>40000</v>
      </c>
      <c r="L365" s="1" t="s">
        <v>89</v>
      </c>
      <c r="M365" s="3" t="s">
        <v>102</v>
      </c>
      <c r="N365">
        <f>IF(AND( Table15[[#This Row],[Salary]] &gt;= 80000, OR(Table15[[#This Row],[Last_performance_rating]] = "C", Table15[[#This Row],[Last_performance_rating]] = "PIP")) =  TRUE, 1, 0)</f>
        <v>0</v>
      </c>
    </row>
    <row r="366" spans="1:14" x14ac:dyDescent="0.25">
      <c r="A366" s="2">
        <v>10219</v>
      </c>
      <c r="B366" s="22">
        <v>19116</v>
      </c>
      <c r="C366" s="1" t="s">
        <v>1284</v>
      </c>
      <c r="D366" s="1" t="s">
        <v>1285</v>
      </c>
      <c r="E366" s="1" t="s">
        <v>13</v>
      </c>
      <c r="F366" s="22">
        <v>34059</v>
      </c>
      <c r="G366" s="1">
        <v>2</v>
      </c>
      <c r="H366" s="1" t="s">
        <v>35</v>
      </c>
      <c r="I366" s="1">
        <v>0</v>
      </c>
      <c r="J366" s="1"/>
      <c r="K366" s="24">
        <v>40000</v>
      </c>
      <c r="L366" s="1" t="s">
        <v>17</v>
      </c>
      <c r="M366" s="3" t="s">
        <v>102</v>
      </c>
      <c r="N366">
        <f>IF(AND( Table15[[#This Row],[Salary]] &gt;= 80000, OR(Table15[[#This Row],[Last_performance_rating]] = "C", Table15[[#This Row],[Last_performance_rating]] = "PIP")) =  TRUE, 1, 0)</f>
        <v>0</v>
      </c>
    </row>
    <row r="367" spans="1:14" x14ac:dyDescent="0.25">
      <c r="A367" s="2">
        <v>10219</v>
      </c>
      <c r="B367" s="22">
        <v>19116</v>
      </c>
      <c r="C367" s="1" t="s">
        <v>1284</v>
      </c>
      <c r="D367" s="1" t="s">
        <v>1285</v>
      </c>
      <c r="E367" s="1" t="s">
        <v>13</v>
      </c>
      <c r="F367" s="22">
        <v>34059</v>
      </c>
      <c r="G367" s="1">
        <v>2</v>
      </c>
      <c r="H367" s="1" t="s">
        <v>35</v>
      </c>
      <c r="I367" s="1">
        <v>0</v>
      </c>
      <c r="J367" s="1"/>
      <c r="K367" s="24">
        <v>40000</v>
      </c>
      <c r="L367" s="1" t="s">
        <v>89</v>
      </c>
      <c r="M367" s="3" t="s">
        <v>102</v>
      </c>
      <c r="N367">
        <f>IF(AND( Table15[[#This Row],[Salary]] &gt;= 80000, OR(Table15[[#This Row],[Last_performance_rating]] = "C", Table15[[#This Row],[Last_performance_rating]] = "PIP")) =  TRUE, 1, 0)</f>
        <v>0</v>
      </c>
    </row>
    <row r="368" spans="1:14" x14ac:dyDescent="0.25">
      <c r="A368" s="2">
        <v>201452</v>
      </c>
      <c r="B368" s="22">
        <v>21659</v>
      </c>
      <c r="C368" s="1" t="s">
        <v>214</v>
      </c>
      <c r="D368" s="1" t="s">
        <v>1229</v>
      </c>
      <c r="E368" s="1" t="s">
        <v>13</v>
      </c>
      <c r="F368" s="22">
        <v>35845</v>
      </c>
      <c r="G368" s="1">
        <v>6</v>
      </c>
      <c r="H368" s="1" t="s">
        <v>15</v>
      </c>
      <c r="I368" s="1">
        <v>0</v>
      </c>
      <c r="J368" s="1"/>
      <c r="K368" s="24">
        <v>58639</v>
      </c>
      <c r="L368" s="1" t="s">
        <v>24</v>
      </c>
      <c r="M368" s="3" t="s">
        <v>55</v>
      </c>
      <c r="N368">
        <f>IF(AND( Table15[[#This Row],[Salary]] &gt;= 80000, OR(Table15[[#This Row],[Last_performance_rating]] = "C", Table15[[#This Row],[Last_performance_rating]] = "PIP")) =  TRUE, 1, 0)</f>
        <v>0</v>
      </c>
    </row>
    <row r="369" spans="1:14" x14ac:dyDescent="0.25">
      <c r="A369" s="2">
        <v>10220</v>
      </c>
      <c r="B369" s="22">
        <v>21330</v>
      </c>
      <c r="C369" s="1" t="s">
        <v>1290</v>
      </c>
      <c r="D369" s="1" t="s">
        <v>1291</v>
      </c>
      <c r="E369" s="1" t="s">
        <v>33</v>
      </c>
      <c r="F369" s="22">
        <v>33780</v>
      </c>
      <c r="G369" s="1">
        <v>8</v>
      </c>
      <c r="H369" s="1" t="s">
        <v>15</v>
      </c>
      <c r="I369" s="1">
        <v>0</v>
      </c>
      <c r="J369" s="1"/>
      <c r="K369" s="24">
        <v>58883</v>
      </c>
      <c r="L369" s="1" t="s">
        <v>108</v>
      </c>
      <c r="M369" s="3" t="s">
        <v>41</v>
      </c>
      <c r="N369">
        <f>IF(AND( Table15[[#This Row],[Salary]] &gt;= 80000, OR(Table15[[#This Row],[Last_performance_rating]] = "C", Table15[[#This Row],[Last_performance_rating]] = "PIP")) =  TRUE, 1, 0)</f>
        <v>0</v>
      </c>
    </row>
    <row r="370" spans="1:14" x14ac:dyDescent="0.25">
      <c r="A370" s="2">
        <v>10221</v>
      </c>
      <c r="B370" s="22">
        <v>20823</v>
      </c>
      <c r="C370" s="1" t="s">
        <v>1294</v>
      </c>
      <c r="D370" s="1" t="s">
        <v>1295</v>
      </c>
      <c r="E370" s="1" t="s">
        <v>13</v>
      </c>
      <c r="F370" s="22">
        <v>32302</v>
      </c>
      <c r="G370" s="1">
        <v>1</v>
      </c>
      <c r="H370" s="1" t="s">
        <v>15</v>
      </c>
      <c r="I370" s="1">
        <v>0</v>
      </c>
      <c r="J370" s="1"/>
      <c r="K370" s="24">
        <v>57821</v>
      </c>
      <c r="L370" s="1" t="s">
        <v>24</v>
      </c>
      <c r="M370" s="3" t="s">
        <v>18</v>
      </c>
      <c r="N370">
        <f>IF(AND( Table15[[#This Row],[Salary]] &gt;= 80000, OR(Table15[[#This Row],[Last_performance_rating]] = "C", Table15[[#This Row],[Last_performance_rating]] = "PIP")) =  TRUE, 1, 0)</f>
        <v>0</v>
      </c>
    </row>
    <row r="371" spans="1:14" x14ac:dyDescent="0.25">
      <c r="A371" s="2">
        <v>435436</v>
      </c>
      <c r="B371" s="22">
        <v>22006</v>
      </c>
      <c r="C371" s="1" t="s">
        <v>1298</v>
      </c>
      <c r="D371" s="1" t="s">
        <v>1299</v>
      </c>
      <c r="E371" s="1" t="s">
        <v>33</v>
      </c>
      <c r="F371" s="22">
        <v>34992</v>
      </c>
      <c r="G371" s="1">
        <v>2</v>
      </c>
      <c r="H371" s="1" t="s">
        <v>29</v>
      </c>
      <c r="I371" s="1">
        <v>1</v>
      </c>
      <c r="J371" s="22">
        <v>39980</v>
      </c>
      <c r="K371" s="24">
        <v>55903</v>
      </c>
      <c r="L371" s="1" t="s">
        <v>24</v>
      </c>
      <c r="M371" s="3" t="s">
        <v>18</v>
      </c>
      <c r="N371">
        <f>IF(AND( Table15[[#This Row],[Salary]] &gt;= 80000, OR(Table15[[#This Row],[Last_performance_rating]] = "C", Table15[[#This Row],[Last_performance_rating]] = "PIP")) =  TRUE, 1, 0)</f>
        <v>0</v>
      </c>
    </row>
    <row r="372" spans="1:14" x14ac:dyDescent="0.25">
      <c r="A372" s="2">
        <v>10222</v>
      </c>
      <c r="B372" s="22">
        <v>22910</v>
      </c>
      <c r="C372" s="1" t="s">
        <v>1303</v>
      </c>
      <c r="D372" s="1" t="s">
        <v>1304</v>
      </c>
      <c r="E372" s="1" t="s">
        <v>13</v>
      </c>
      <c r="F372" s="22">
        <v>31571</v>
      </c>
      <c r="G372" s="1">
        <v>7</v>
      </c>
      <c r="H372" s="1" t="s">
        <v>29</v>
      </c>
      <c r="I372" s="1">
        <v>0</v>
      </c>
      <c r="J372" s="1"/>
      <c r="K372" s="24">
        <v>40000</v>
      </c>
      <c r="L372" s="1" t="s">
        <v>24</v>
      </c>
      <c r="M372" s="3" t="s">
        <v>55</v>
      </c>
      <c r="N372">
        <f>IF(AND( Table15[[#This Row],[Salary]] &gt;= 80000, OR(Table15[[#This Row],[Last_performance_rating]] = "C", Table15[[#This Row],[Last_performance_rating]] = "PIP")) =  TRUE, 1, 0)</f>
        <v>0</v>
      </c>
    </row>
    <row r="373" spans="1:14" x14ac:dyDescent="0.25">
      <c r="A373" s="2">
        <v>10223</v>
      </c>
      <c r="B373" s="22">
        <v>23271</v>
      </c>
      <c r="C373" s="1" t="s">
        <v>1307</v>
      </c>
      <c r="D373" s="1" t="s">
        <v>1308</v>
      </c>
      <c r="E373" s="1" t="s">
        <v>33</v>
      </c>
      <c r="F373" s="22">
        <v>31369</v>
      </c>
      <c r="G373" s="1">
        <v>1</v>
      </c>
      <c r="H373" s="1" t="s">
        <v>15</v>
      </c>
      <c r="I373" s="1">
        <v>0</v>
      </c>
      <c r="J373" s="1"/>
      <c r="K373" s="24">
        <v>62922</v>
      </c>
      <c r="L373" s="1" t="s">
        <v>17</v>
      </c>
      <c r="M373" s="3" t="s">
        <v>55</v>
      </c>
      <c r="N373">
        <f>IF(AND( Table15[[#This Row],[Salary]] &gt;= 80000, OR(Table15[[#This Row],[Last_performance_rating]] = "C", Table15[[#This Row],[Last_performance_rating]] = "PIP")) =  TRUE, 1, 0)</f>
        <v>0</v>
      </c>
    </row>
    <row r="374" spans="1:14" x14ac:dyDescent="0.25">
      <c r="A374" s="2">
        <v>98882</v>
      </c>
      <c r="B374" s="22">
        <v>19795</v>
      </c>
      <c r="C374" s="1" t="s">
        <v>284</v>
      </c>
      <c r="D374" s="1" t="s">
        <v>1311</v>
      </c>
      <c r="E374" s="1" t="s">
        <v>33</v>
      </c>
      <c r="F374" s="22">
        <v>32829</v>
      </c>
      <c r="G374" s="1">
        <v>1</v>
      </c>
      <c r="H374" s="1" t="s">
        <v>15</v>
      </c>
      <c r="I374" s="1">
        <v>0</v>
      </c>
      <c r="J374" s="1"/>
      <c r="K374" s="24">
        <v>40000</v>
      </c>
      <c r="L374" s="1" t="s">
        <v>17</v>
      </c>
      <c r="M374" s="3" t="s">
        <v>18</v>
      </c>
      <c r="N374">
        <f>IF(AND( Table15[[#This Row],[Salary]] &gt;= 80000, OR(Table15[[#This Row],[Last_performance_rating]] = "C", Table15[[#This Row],[Last_performance_rating]] = "PIP")) =  TRUE, 1, 0)</f>
        <v>0</v>
      </c>
    </row>
    <row r="375" spans="1:14" x14ac:dyDescent="0.25">
      <c r="A375" s="2">
        <v>10224</v>
      </c>
      <c r="B375" s="22">
        <v>19861</v>
      </c>
      <c r="C375" s="1" t="s">
        <v>1314</v>
      </c>
      <c r="D375" s="1" t="s">
        <v>1315</v>
      </c>
      <c r="E375" s="1" t="s">
        <v>13</v>
      </c>
      <c r="F375" s="22">
        <v>32151</v>
      </c>
      <c r="G375" s="1">
        <v>7</v>
      </c>
      <c r="H375" s="1" t="s">
        <v>29</v>
      </c>
      <c r="I375" s="1">
        <v>0</v>
      </c>
      <c r="J375" s="1"/>
      <c r="K375" s="24">
        <v>40000</v>
      </c>
      <c r="L375" s="1" t="s">
        <v>24</v>
      </c>
      <c r="M375" s="3" t="s">
        <v>18</v>
      </c>
      <c r="N375">
        <f>IF(AND( Table15[[#This Row],[Salary]] &gt;= 80000, OR(Table15[[#This Row],[Last_performance_rating]] = "C", Table15[[#This Row],[Last_performance_rating]] = "PIP")) =  TRUE, 1, 0)</f>
        <v>0</v>
      </c>
    </row>
    <row r="376" spans="1:14" x14ac:dyDescent="0.25">
      <c r="A376" s="2">
        <v>10225</v>
      </c>
      <c r="B376" s="22">
        <v>20864</v>
      </c>
      <c r="C376" s="1" t="s">
        <v>1317</v>
      </c>
      <c r="D376" s="1" t="s">
        <v>1318</v>
      </c>
      <c r="E376" s="1" t="s">
        <v>33</v>
      </c>
      <c r="F376" s="22">
        <v>31582</v>
      </c>
      <c r="G376" s="1">
        <v>7</v>
      </c>
      <c r="H376" s="1" t="s">
        <v>15</v>
      </c>
      <c r="I376" s="1">
        <v>0</v>
      </c>
      <c r="J376" s="1"/>
      <c r="K376" s="24">
        <v>40000</v>
      </c>
      <c r="L376" s="1" t="s">
        <v>89</v>
      </c>
      <c r="M376" s="3" t="s">
        <v>41</v>
      </c>
      <c r="N376">
        <f>IF(AND( Table15[[#This Row],[Salary]] &gt;= 80000, OR(Table15[[#This Row],[Last_performance_rating]] = "C", Table15[[#This Row],[Last_performance_rating]] = "PIP")) =  TRUE, 1, 0)</f>
        <v>0</v>
      </c>
    </row>
    <row r="377" spans="1:14" x14ac:dyDescent="0.25">
      <c r="A377" s="2">
        <v>42924</v>
      </c>
      <c r="B377" s="22">
        <v>22578</v>
      </c>
      <c r="C377" s="1" t="s">
        <v>1320</v>
      </c>
      <c r="D377" s="1" t="s">
        <v>1321</v>
      </c>
      <c r="E377" s="1" t="s">
        <v>33</v>
      </c>
      <c r="F377" s="22">
        <v>33683</v>
      </c>
      <c r="G377" s="1">
        <v>8</v>
      </c>
      <c r="H377" s="1" t="s">
        <v>29</v>
      </c>
      <c r="I377" s="1">
        <v>0</v>
      </c>
      <c r="J377" s="1"/>
      <c r="K377" s="24">
        <v>40000</v>
      </c>
      <c r="L377" s="1" t="s">
        <v>24</v>
      </c>
      <c r="M377" s="3" t="s">
        <v>18</v>
      </c>
      <c r="N377">
        <f>IF(AND( Table15[[#This Row],[Salary]] &gt;= 80000, OR(Table15[[#This Row],[Last_performance_rating]] = "C", Table15[[#This Row],[Last_performance_rating]] = "PIP")) =  TRUE, 1, 0)</f>
        <v>0</v>
      </c>
    </row>
    <row r="378" spans="1:14" x14ac:dyDescent="0.25">
      <c r="A378" s="2">
        <v>10226</v>
      </c>
      <c r="B378" s="22">
        <v>23739</v>
      </c>
      <c r="C378" s="1" t="s">
        <v>550</v>
      </c>
      <c r="D378" s="1" t="s">
        <v>1324</v>
      </c>
      <c r="E378" s="1" t="s">
        <v>13</v>
      </c>
      <c r="F378" s="22">
        <v>32808</v>
      </c>
      <c r="G378" s="1">
        <v>2</v>
      </c>
      <c r="H378" s="1" t="s">
        <v>15</v>
      </c>
      <c r="I378" s="1">
        <v>0</v>
      </c>
      <c r="J378" s="1"/>
      <c r="K378" s="24">
        <v>79456</v>
      </c>
      <c r="L378" s="1" t="s">
        <v>40</v>
      </c>
      <c r="M378" s="3" t="s">
        <v>41</v>
      </c>
      <c r="N378">
        <f>IF(AND( Table15[[#This Row],[Salary]] &gt;= 80000, OR(Table15[[#This Row],[Last_performance_rating]] = "C", Table15[[#This Row],[Last_performance_rating]] = "PIP")) =  TRUE, 1, 0)</f>
        <v>0</v>
      </c>
    </row>
    <row r="379" spans="1:14" x14ac:dyDescent="0.25">
      <c r="A379" s="2">
        <v>10227</v>
      </c>
      <c r="B379" s="22">
        <v>21005</v>
      </c>
      <c r="C379" s="1" t="s">
        <v>1327</v>
      </c>
      <c r="D379" s="1" t="s">
        <v>1328</v>
      </c>
      <c r="E379" s="1" t="s">
        <v>13</v>
      </c>
      <c r="F379" s="22">
        <v>34448</v>
      </c>
      <c r="G379" s="1">
        <v>4</v>
      </c>
      <c r="H379" s="1" t="s">
        <v>35</v>
      </c>
      <c r="I379" s="1">
        <v>0</v>
      </c>
      <c r="J379" s="1"/>
      <c r="K379" s="24">
        <v>53497</v>
      </c>
      <c r="L379" s="1" t="s">
        <v>17</v>
      </c>
      <c r="M379" s="3" t="s">
        <v>156</v>
      </c>
      <c r="N379">
        <f>IF(AND( Table15[[#This Row],[Salary]] &gt;= 80000, OR(Table15[[#This Row],[Last_performance_rating]] = "C", Table15[[#This Row],[Last_performance_rating]] = "PIP")) =  TRUE, 1, 0)</f>
        <v>0</v>
      </c>
    </row>
    <row r="380" spans="1:14" x14ac:dyDescent="0.25">
      <c r="A380" s="2">
        <v>78316</v>
      </c>
      <c r="B380" s="22">
        <v>22660</v>
      </c>
      <c r="C380" s="1" t="s">
        <v>1331</v>
      </c>
      <c r="D380" s="1" t="s">
        <v>1332</v>
      </c>
      <c r="E380" s="1" t="s">
        <v>13</v>
      </c>
      <c r="F380" s="22">
        <v>34773</v>
      </c>
      <c r="G380" s="1">
        <v>9</v>
      </c>
      <c r="H380" s="1" t="s">
        <v>35</v>
      </c>
      <c r="I380" s="1">
        <v>0</v>
      </c>
      <c r="J380" s="1"/>
      <c r="K380" s="24">
        <v>40000</v>
      </c>
      <c r="L380" s="1" t="s">
        <v>17</v>
      </c>
      <c r="M380" s="3" t="s">
        <v>156</v>
      </c>
      <c r="N380">
        <f>IF(AND( Table15[[#This Row],[Salary]] &gt;= 80000, OR(Table15[[#This Row],[Last_performance_rating]] = "C", Table15[[#This Row],[Last_performance_rating]] = "PIP")) =  TRUE, 1, 0)</f>
        <v>0</v>
      </c>
    </row>
    <row r="381" spans="1:14" x14ac:dyDescent="0.25">
      <c r="A381" s="2">
        <v>10228</v>
      </c>
      <c r="B381" s="22">
        <v>19470</v>
      </c>
      <c r="C381" s="1" t="s">
        <v>615</v>
      </c>
      <c r="D381" s="1" t="s">
        <v>1334</v>
      </c>
      <c r="E381" s="1" t="s">
        <v>33</v>
      </c>
      <c r="F381" s="22">
        <v>33476</v>
      </c>
      <c r="G381" s="1">
        <v>8</v>
      </c>
      <c r="H381" s="1" t="s">
        <v>35</v>
      </c>
      <c r="I381" s="1">
        <v>0</v>
      </c>
      <c r="J381" s="1"/>
      <c r="K381" s="24">
        <v>79474</v>
      </c>
      <c r="L381" s="1" t="s">
        <v>125</v>
      </c>
      <c r="M381" s="3" t="s">
        <v>41</v>
      </c>
      <c r="N381">
        <f>IF(AND( Table15[[#This Row],[Salary]] &gt;= 80000, OR(Table15[[#This Row],[Last_performance_rating]] = "C", Table15[[#This Row],[Last_performance_rating]] = "PIP")) =  TRUE, 1, 0)</f>
        <v>0</v>
      </c>
    </row>
    <row r="382" spans="1:14" x14ac:dyDescent="0.25">
      <c r="A382" s="2">
        <v>10228</v>
      </c>
      <c r="B382" s="22">
        <v>19470</v>
      </c>
      <c r="C382" s="1" t="s">
        <v>615</v>
      </c>
      <c r="D382" s="1" t="s">
        <v>1334</v>
      </c>
      <c r="E382" s="1" t="s">
        <v>33</v>
      </c>
      <c r="F382" s="22">
        <v>33476</v>
      </c>
      <c r="G382" s="1">
        <v>8</v>
      </c>
      <c r="H382" s="1" t="s">
        <v>35</v>
      </c>
      <c r="I382" s="1">
        <v>0</v>
      </c>
      <c r="J382" s="1"/>
      <c r="K382" s="24">
        <v>79474</v>
      </c>
      <c r="L382" s="1" t="s">
        <v>40</v>
      </c>
      <c r="M382" s="3" t="s">
        <v>41</v>
      </c>
      <c r="N382">
        <f>IF(AND( Table15[[#This Row],[Salary]] &gt;= 80000, OR(Table15[[#This Row],[Last_performance_rating]] = "C", Table15[[#This Row],[Last_performance_rating]] = "PIP")) =  TRUE, 1, 0)</f>
        <v>0</v>
      </c>
    </row>
    <row r="383" spans="1:14" x14ac:dyDescent="0.25">
      <c r="A383" s="2">
        <v>430484</v>
      </c>
      <c r="B383" s="22">
        <v>22948</v>
      </c>
      <c r="C383" s="1" t="s">
        <v>381</v>
      </c>
      <c r="D383" s="1" t="s">
        <v>1337</v>
      </c>
      <c r="E383" s="1" t="s">
        <v>33</v>
      </c>
      <c r="F383" s="22">
        <v>31850</v>
      </c>
      <c r="G383" s="1">
        <v>5</v>
      </c>
      <c r="H383" s="1" t="s">
        <v>35</v>
      </c>
      <c r="I383" s="1">
        <v>0</v>
      </c>
      <c r="J383" s="1"/>
      <c r="K383" s="24">
        <v>40000</v>
      </c>
      <c r="L383" s="1" t="s">
        <v>24</v>
      </c>
      <c r="M383" s="3" t="s">
        <v>18</v>
      </c>
      <c r="N383">
        <f>IF(AND( Table15[[#This Row],[Salary]] &gt;= 80000, OR(Table15[[#This Row],[Last_performance_rating]] = "C", Table15[[#This Row],[Last_performance_rating]] = "PIP")) =  TRUE, 1, 0)</f>
        <v>0</v>
      </c>
    </row>
    <row r="384" spans="1:14" x14ac:dyDescent="0.25">
      <c r="A384" s="2">
        <v>10229</v>
      </c>
      <c r="B384" s="22">
        <v>19034</v>
      </c>
      <c r="C384" s="1" t="s">
        <v>1340</v>
      </c>
      <c r="D384" s="1" t="s">
        <v>1341</v>
      </c>
      <c r="E384" s="1" t="s">
        <v>13</v>
      </c>
      <c r="F384" s="22">
        <v>32103</v>
      </c>
      <c r="G384" s="1">
        <v>7</v>
      </c>
      <c r="H384" s="1" t="s">
        <v>35</v>
      </c>
      <c r="I384" s="1">
        <v>1</v>
      </c>
      <c r="J384" s="22">
        <v>33266</v>
      </c>
      <c r="K384" s="24">
        <v>58321</v>
      </c>
      <c r="L384" s="1" t="s">
        <v>71</v>
      </c>
      <c r="M384" s="3" t="s">
        <v>55</v>
      </c>
      <c r="N384">
        <f>IF(AND( Table15[[#This Row],[Salary]] &gt;= 80000, OR(Table15[[#This Row],[Last_performance_rating]] = "C", Table15[[#This Row],[Last_performance_rating]] = "PIP")) =  TRUE, 1, 0)</f>
        <v>0</v>
      </c>
    </row>
    <row r="385" spans="1:14" x14ac:dyDescent="0.25">
      <c r="A385" s="2">
        <v>10230</v>
      </c>
      <c r="B385" s="22">
        <v>20343</v>
      </c>
      <c r="C385" s="1" t="s">
        <v>1344</v>
      </c>
      <c r="D385" s="1" t="s">
        <v>1345</v>
      </c>
      <c r="E385" s="1" t="s">
        <v>13</v>
      </c>
      <c r="F385" s="22">
        <v>35232</v>
      </c>
      <c r="G385" s="1">
        <v>7</v>
      </c>
      <c r="H385" s="1" t="s">
        <v>35</v>
      </c>
      <c r="I385" s="1">
        <v>0</v>
      </c>
      <c r="J385" s="1"/>
      <c r="K385" s="24">
        <v>47531</v>
      </c>
      <c r="L385" s="1" t="s">
        <v>61</v>
      </c>
      <c r="M385" s="3" t="s">
        <v>41</v>
      </c>
      <c r="N385">
        <f>IF(AND( Table15[[#This Row],[Salary]] &gt;= 80000, OR(Table15[[#This Row],[Last_performance_rating]] = "C", Table15[[#This Row],[Last_performance_rating]] = "PIP")) =  TRUE, 1, 0)</f>
        <v>0</v>
      </c>
    </row>
    <row r="386" spans="1:14" x14ac:dyDescent="0.25">
      <c r="A386" s="2">
        <v>401368</v>
      </c>
      <c r="B386" s="22">
        <v>22006</v>
      </c>
      <c r="C386" s="1" t="s">
        <v>1347</v>
      </c>
      <c r="D386" s="1" t="s">
        <v>897</v>
      </c>
      <c r="E386" s="1" t="s">
        <v>13</v>
      </c>
      <c r="F386" s="22">
        <v>33576</v>
      </c>
      <c r="G386" s="1">
        <v>10</v>
      </c>
      <c r="H386" s="1" t="s">
        <v>15</v>
      </c>
      <c r="I386" s="1">
        <v>0</v>
      </c>
      <c r="J386" s="1"/>
      <c r="K386" s="24">
        <v>40000</v>
      </c>
      <c r="L386" s="1" t="s">
        <v>17</v>
      </c>
      <c r="M386" s="3" t="s">
        <v>55</v>
      </c>
      <c r="N386">
        <f>IF(AND( Table15[[#This Row],[Salary]] &gt;= 80000, OR(Table15[[#This Row],[Last_performance_rating]] = "C", Table15[[#This Row],[Last_performance_rating]] = "PIP")) =  TRUE, 1, 0)</f>
        <v>0</v>
      </c>
    </row>
    <row r="387" spans="1:14" x14ac:dyDescent="0.25">
      <c r="A387" s="2">
        <v>10231</v>
      </c>
      <c r="B387" s="22">
        <v>23213</v>
      </c>
      <c r="C387" s="1" t="s">
        <v>563</v>
      </c>
      <c r="D387" s="1" t="s">
        <v>584</v>
      </c>
      <c r="E387" s="1" t="s">
        <v>33</v>
      </c>
      <c r="F387" s="22">
        <v>35168</v>
      </c>
      <c r="G387" s="1">
        <v>7</v>
      </c>
      <c r="H387" s="1" t="s">
        <v>35</v>
      </c>
      <c r="I387" s="1">
        <v>0</v>
      </c>
      <c r="J387" s="1"/>
      <c r="K387" s="24">
        <v>40000</v>
      </c>
      <c r="L387" s="1" t="s">
        <v>89</v>
      </c>
      <c r="M387" s="3" t="s">
        <v>41</v>
      </c>
      <c r="N387">
        <f>IF(AND( Table15[[#This Row],[Salary]] &gt;= 80000, OR(Table15[[#This Row],[Last_performance_rating]] = "C", Table15[[#This Row],[Last_performance_rating]] = "PIP")) =  TRUE, 1, 0)</f>
        <v>0</v>
      </c>
    </row>
    <row r="388" spans="1:14" x14ac:dyDescent="0.25">
      <c r="A388" s="2">
        <v>10232</v>
      </c>
      <c r="B388" s="22">
        <v>20525</v>
      </c>
      <c r="C388" s="1" t="s">
        <v>1352</v>
      </c>
      <c r="D388" s="1" t="s">
        <v>857</v>
      </c>
      <c r="E388" s="1" t="s">
        <v>33</v>
      </c>
      <c r="F388" s="22">
        <v>33759</v>
      </c>
      <c r="G388" s="1">
        <v>9</v>
      </c>
      <c r="H388" s="1" t="s">
        <v>29</v>
      </c>
      <c r="I388" s="1">
        <v>1</v>
      </c>
      <c r="J388" s="22">
        <v>36159</v>
      </c>
      <c r="K388" s="24">
        <v>89606</v>
      </c>
      <c r="L388" s="1" t="s">
        <v>40</v>
      </c>
      <c r="M388" s="3" t="s">
        <v>41</v>
      </c>
      <c r="N388">
        <f>IF(AND( Table15[[#This Row],[Salary]] &gt;= 80000, OR(Table15[[#This Row],[Last_performance_rating]] = "C", Table15[[#This Row],[Last_performance_rating]] = "PIP")) =  TRUE, 1, 0)</f>
        <v>0</v>
      </c>
    </row>
    <row r="389" spans="1:14" x14ac:dyDescent="0.25">
      <c r="A389" s="2">
        <v>211383</v>
      </c>
      <c r="B389" s="22">
        <v>22183</v>
      </c>
      <c r="C389" s="1" t="s">
        <v>1356</v>
      </c>
      <c r="D389" s="1" t="s">
        <v>1357</v>
      </c>
      <c r="E389" s="1" t="s">
        <v>13</v>
      </c>
      <c r="F389" s="22">
        <v>33925</v>
      </c>
      <c r="G389" s="1">
        <v>9</v>
      </c>
      <c r="H389" s="1" t="s">
        <v>29</v>
      </c>
      <c r="I389" s="1">
        <v>0</v>
      </c>
      <c r="J389" s="1"/>
      <c r="K389" s="24">
        <v>54215</v>
      </c>
      <c r="L389" s="1" t="s">
        <v>125</v>
      </c>
      <c r="M389" s="3" t="s">
        <v>41</v>
      </c>
      <c r="N389">
        <f>IF(AND( Table15[[#This Row],[Salary]] &gt;= 80000, OR(Table15[[#This Row],[Last_performance_rating]] = "C", Table15[[#This Row],[Last_performance_rating]] = "PIP")) =  TRUE, 1, 0)</f>
        <v>0</v>
      </c>
    </row>
    <row r="390" spans="1:14" x14ac:dyDescent="0.25">
      <c r="A390" s="2">
        <v>211383</v>
      </c>
      <c r="B390" s="22">
        <v>22183</v>
      </c>
      <c r="C390" s="1" t="s">
        <v>1356</v>
      </c>
      <c r="D390" s="1" t="s">
        <v>1357</v>
      </c>
      <c r="E390" s="1" t="s">
        <v>13</v>
      </c>
      <c r="F390" s="22">
        <v>33925</v>
      </c>
      <c r="G390" s="1">
        <v>9</v>
      </c>
      <c r="H390" s="1" t="s">
        <v>29</v>
      </c>
      <c r="I390" s="1">
        <v>0</v>
      </c>
      <c r="J390" s="1"/>
      <c r="K390" s="24">
        <v>54215</v>
      </c>
      <c r="L390" s="1" t="s">
        <v>40</v>
      </c>
      <c r="M390" s="3" t="s">
        <v>41</v>
      </c>
      <c r="N390">
        <f>IF(AND( Table15[[#This Row],[Salary]] &gt;= 80000, OR(Table15[[#This Row],[Last_performance_rating]] = "C", Table15[[#This Row],[Last_performance_rating]] = "PIP")) =  TRUE, 1, 0)</f>
        <v>0</v>
      </c>
    </row>
    <row r="391" spans="1:14" x14ac:dyDescent="0.25">
      <c r="A391" s="2">
        <v>10233</v>
      </c>
      <c r="B391" s="22">
        <v>19815</v>
      </c>
      <c r="C391" s="1" t="s">
        <v>1360</v>
      </c>
      <c r="D391" s="1" t="s">
        <v>1361</v>
      </c>
      <c r="E391" s="1" t="s">
        <v>33</v>
      </c>
      <c r="F391" s="22">
        <v>31233</v>
      </c>
      <c r="G391" s="1">
        <v>1</v>
      </c>
      <c r="H391" s="1" t="s">
        <v>15</v>
      </c>
      <c r="I391" s="1">
        <v>0</v>
      </c>
      <c r="J391" s="1"/>
      <c r="K391" s="24">
        <v>40000</v>
      </c>
      <c r="L391" s="1" t="s">
        <v>46</v>
      </c>
      <c r="M391" s="3" t="s">
        <v>41</v>
      </c>
      <c r="N391">
        <f>IF(AND( Table15[[#This Row],[Salary]] &gt;= 80000, OR(Table15[[#This Row],[Last_performance_rating]] = "C", Table15[[#This Row],[Last_performance_rating]] = "PIP")) =  TRUE, 1, 0)</f>
        <v>0</v>
      </c>
    </row>
    <row r="392" spans="1:14" x14ac:dyDescent="0.25">
      <c r="A392" s="2">
        <v>10234</v>
      </c>
      <c r="B392" s="22">
        <v>22299</v>
      </c>
      <c r="C392" s="1" t="s">
        <v>1364</v>
      </c>
      <c r="D392" s="1" t="s">
        <v>402</v>
      </c>
      <c r="E392" s="1" t="s">
        <v>13</v>
      </c>
      <c r="F392" s="22">
        <v>33196</v>
      </c>
      <c r="G392" s="1">
        <v>10</v>
      </c>
      <c r="H392" s="1" t="s">
        <v>35</v>
      </c>
      <c r="I392" s="1">
        <v>0</v>
      </c>
      <c r="J392" s="1"/>
      <c r="K392" s="24">
        <v>84584</v>
      </c>
      <c r="L392" s="1" t="s">
        <v>40</v>
      </c>
      <c r="M392" s="3" t="s">
        <v>41</v>
      </c>
      <c r="N392">
        <f>IF(AND( Table15[[#This Row],[Salary]] &gt;= 80000, OR(Table15[[#This Row],[Last_performance_rating]] = "C", Table15[[#This Row],[Last_performance_rating]] = "PIP")) =  TRUE, 1, 0)</f>
        <v>0</v>
      </c>
    </row>
    <row r="393" spans="1:14" x14ac:dyDescent="0.25">
      <c r="A393" s="2">
        <v>452859</v>
      </c>
      <c r="B393" s="22">
        <v>22019</v>
      </c>
      <c r="C393" s="1" t="s">
        <v>1367</v>
      </c>
      <c r="D393" s="1" t="s">
        <v>1368</v>
      </c>
      <c r="E393" s="1" t="s">
        <v>13</v>
      </c>
      <c r="F393" s="22">
        <v>32383</v>
      </c>
      <c r="G393" s="1">
        <v>2</v>
      </c>
      <c r="H393" s="1" t="s">
        <v>35</v>
      </c>
      <c r="I393" s="1">
        <v>0</v>
      </c>
      <c r="J393" s="1"/>
      <c r="K393" s="24">
        <v>57777</v>
      </c>
      <c r="L393" s="1" t="s">
        <v>125</v>
      </c>
      <c r="M393" s="3" t="s">
        <v>41</v>
      </c>
      <c r="N393">
        <f>IF(AND( Table15[[#This Row],[Salary]] &gt;= 80000, OR(Table15[[#This Row],[Last_performance_rating]] = "C", Table15[[#This Row],[Last_performance_rating]] = "PIP")) =  TRUE, 1, 0)</f>
        <v>0</v>
      </c>
    </row>
    <row r="394" spans="1:14" x14ac:dyDescent="0.25">
      <c r="A394" s="2">
        <v>10235</v>
      </c>
      <c r="B394" s="22">
        <v>21271</v>
      </c>
      <c r="C394" s="1" t="s">
        <v>1371</v>
      </c>
      <c r="D394" s="1" t="s">
        <v>1372</v>
      </c>
      <c r="E394" s="1" t="s">
        <v>33</v>
      </c>
      <c r="F394" s="22">
        <v>34795</v>
      </c>
      <c r="G394" s="1">
        <v>8</v>
      </c>
      <c r="H394" s="1" t="s">
        <v>29</v>
      </c>
      <c r="I394" s="1">
        <v>1</v>
      </c>
      <c r="J394" s="22">
        <v>37873</v>
      </c>
      <c r="K394" s="24">
        <v>41941</v>
      </c>
      <c r="L394" s="1" t="s">
        <v>24</v>
      </c>
      <c r="M394" s="3" t="s">
        <v>18</v>
      </c>
      <c r="N394">
        <f>IF(AND( Table15[[#This Row],[Salary]] &gt;= 80000, OR(Table15[[#This Row],[Last_performance_rating]] = "C", Table15[[#This Row],[Last_performance_rating]] = "PIP")) =  TRUE, 1, 0)</f>
        <v>0</v>
      </c>
    </row>
    <row r="395" spans="1:14" x14ac:dyDescent="0.25">
      <c r="A395" s="2">
        <v>10236</v>
      </c>
      <c r="B395" s="22">
        <v>22001</v>
      </c>
      <c r="C395" s="1" t="s">
        <v>1375</v>
      </c>
      <c r="D395" s="1" t="s">
        <v>1376</v>
      </c>
      <c r="E395" s="1" t="s">
        <v>33</v>
      </c>
      <c r="F395" s="22">
        <v>35307</v>
      </c>
      <c r="G395" s="1">
        <v>10</v>
      </c>
      <c r="H395" s="1" t="s">
        <v>15</v>
      </c>
      <c r="I395" s="1">
        <v>0</v>
      </c>
      <c r="J395" s="1"/>
      <c r="K395" s="24">
        <v>80469</v>
      </c>
      <c r="L395" s="1" t="s">
        <v>40</v>
      </c>
      <c r="M395" s="3" t="s">
        <v>41</v>
      </c>
      <c r="N395">
        <f>IF(AND( Table15[[#This Row],[Salary]] &gt;= 80000, OR(Table15[[#This Row],[Last_performance_rating]] = "C", Table15[[#This Row],[Last_performance_rating]] = "PIP")) =  TRUE, 1, 0)</f>
        <v>1</v>
      </c>
    </row>
    <row r="396" spans="1:14" x14ac:dyDescent="0.25">
      <c r="A396" s="2">
        <v>11842</v>
      </c>
      <c r="B396" s="22">
        <v>19814</v>
      </c>
      <c r="C396" s="1" t="s">
        <v>1379</v>
      </c>
      <c r="D396" s="1" t="s">
        <v>1380</v>
      </c>
      <c r="E396" s="1" t="s">
        <v>13</v>
      </c>
      <c r="F396" s="22">
        <v>33583</v>
      </c>
      <c r="G396" s="1">
        <v>9</v>
      </c>
      <c r="H396" s="1" t="s">
        <v>29</v>
      </c>
      <c r="I396" s="1">
        <v>0</v>
      </c>
      <c r="J396" s="1"/>
      <c r="K396" s="24">
        <v>40000</v>
      </c>
      <c r="L396" s="1" t="s">
        <v>61</v>
      </c>
      <c r="M396" s="3" t="s">
        <v>41</v>
      </c>
      <c r="N396">
        <f>IF(AND( Table15[[#This Row],[Salary]] &gt;= 80000, OR(Table15[[#This Row],[Last_performance_rating]] = "C", Table15[[#This Row],[Last_performance_rating]] = "PIP")) =  TRUE, 1, 0)</f>
        <v>0</v>
      </c>
    </row>
    <row r="397" spans="1:14" x14ac:dyDescent="0.25">
      <c r="A397" s="2">
        <v>10237</v>
      </c>
      <c r="B397" s="22">
        <v>19259</v>
      </c>
      <c r="C397" s="1" t="s">
        <v>1383</v>
      </c>
      <c r="D397" s="1" t="s">
        <v>604</v>
      </c>
      <c r="E397" s="1" t="s">
        <v>33</v>
      </c>
      <c r="F397" s="22">
        <v>32731</v>
      </c>
      <c r="G397" s="1">
        <v>5</v>
      </c>
      <c r="H397" s="1" t="s">
        <v>35</v>
      </c>
      <c r="I397" s="1">
        <v>0</v>
      </c>
      <c r="J397" s="1"/>
      <c r="K397" s="24">
        <v>100715</v>
      </c>
      <c r="L397" s="1" t="s">
        <v>40</v>
      </c>
      <c r="M397" s="3" t="s">
        <v>41</v>
      </c>
      <c r="N397">
        <f>IF(AND( Table15[[#This Row],[Salary]] &gt;= 80000, OR(Table15[[#This Row],[Last_performance_rating]] = "C", Table15[[#This Row],[Last_performance_rating]] = "PIP")) =  TRUE, 1, 0)</f>
        <v>0</v>
      </c>
    </row>
    <row r="398" spans="1:14" x14ac:dyDescent="0.25">
      <c r="A398" s="2">
        <v>10238</v>
      </c>
      <c r="B398" s="22">
        <v>23683</v>
      </c>
      <c r="C398" s="1" t="s">
        <v>1386</v>
      </c>
      <c r="D398" s="1" t="s">
        <v>1387</v>
      </c>
      <c r="E398" s="1" t="s">
        <v>33</v>
      </c>
      <c r="F398" s="22">
        <v>31735</v>
      </c>
      <c r="G398" s="1">
        <v>4</v>
      </c>
      <c r="H398" s="1" t="s">
        <v>29</v>
      </c>
      <c r="I398" s="1">
        <v>0</v>
      </c>
      <c r="J398" s="1"/>
      <c r="K398" s="24">
        <v>52764</v>
      </c>
      <c r="L398" s="1" t="s">
        <v>17</v>
      </c>
      <c r="M398" s="3" t="s">
        <v>55</v>
      </c>
      <c r="N398">
        <f>IF(AND( Table15[[#This Row],[Salary]] &gt;= 80000, OR(Table15[[#This Row],[Last_performance_rating]] = "C", Table15[[#This Row],[Last_performance_rating]] = "PIP")) =  TRUE, 1, 0)</f>
        <v>0</v>
      </c>
    </row>
    <row r="399" spans="1:14" x14ac:dyDescent="0.25">
      <c r="A399" s="2">
        <v>10238</v>
      </c>
      <c r="B399" s="22">
        <v>23683</v>
      </c>
      <c r="C399" s="1" t="s">
        <v>1386</v>
      </c>
      <c r="D399" s="1" t="s">
        <v>1387</v>
      </c>
      <c r="E399" s="1" t="s">
        <v>33</v>
      </c>
      <c r="F399" s="22">
        <v>31735</v>
      </c>
      <c r="G399" s="1">
        <v>4</v>
      </c>
      <c r="H399" s="1" t="s">
        <v>29</v>
      </c>
      <c r="I399" s="1">
        <v>0</v>
      </c>
      <c r="J399" s="1"/>
      <c r="K399" s="24">
        <v>52764</v>
      </c>
      <c r="L399" s="1" t="s">
        <v>61</v>
      </c>
      <c r="M399" s="3" t="s">
        <v>55</v>
      </c>
      <c r="N399">
        <f>IF(AND( Table15[[#This Row],[Salary]] &gt;= 80000, OR(Table15[[#This Row],[Last_performance_rating]] = "C", Table15[[#This Row],[Last_performance_rating]] = "PIP")) =  TRUE, 1, 0)</f>
        <v>0</v>
      </c>
    </row>
    <row r="400" spans="1:14" x14ac:dyDescent="0.25">
      <c r="A400" s="2">
        <v>439095</v>
      </c>
      <c r="B400" s="22">
        <v>20200</v>
      </c>
      <c r="C400" s="1" t="s">
        <v>828</v>
      </c>
      <c r="D400" s="1" t="s">
        <v>956</v>
      </c>
      <c r="E400" s="1" t="s">
        <v>13</v>
      </c>
      <c r="F400" s="22">
        <v>32848</v>
      </c>
      <c r="G400" s="1">
        <v>3</v>
      </c>
      <c r="H400" s="1" t="s">
        <v>35</v>
      </c>
      <c r="I400" s="1">
        <v>0</v>
      </c>
      <c r="J400" s="1"/>
      <c r="K400" s="24">
        <v>72075</v>
      </c>
      <c r="L400" s="1" t="s">
        <v>125</v>
      </c>
      <c r="M400" s="3" t="s">
        <v>41</v>
      </c>
      <c r="N400">
        <f>IF(AND( Table15[[#This Row],[Salary]] &gt;= 80000, OR(Table15[[#This Row],[Last_performance_rating]] = "C", Table15[[#This Row],[Last_performance_rating]] = "PIP")) =  TRUE, 1, 0)</f>
        <v>0</v>
      </c>
    </row>
    <row r="401" spans="1:14" x14ac:dyDescent="0.25">
      <c r="A401" s="2">
        <v>10239</v>
      </c>
      <c r="B401" s="22">
        <v>20179</v>
      </c>
      <c r="C401" s="1" t="s">
        <v>1392</v>
      </c>
      <c r="D401" s="1" t="s">
        <v>1393</v>
      </c>
      <c r="E401" s="1" t="s">
        <v>33</v>
      </c>
      <c r="F401" s="22">
        <v>34827</v>
      </c>
      <c r="G401" s="1">
        <v>2</v>
      </c>
      <c r="H401" s="1" t="s">
        <v>35</v>
      </c>
      <c r="I401" s="1">
        <v>0</v>
      </c>
      <c r="J401" s="1"/>
      <c r="K401" s="24">
        <v>65146</v>
      </c>
      <c r="L401" s="1" t="s">
        <v>125</v>
      </c>
      <c r="M401" s="3" t="s">
        <v>41</v>
      </c>
      <c r="N401">
        <f>IF(AND( Table15[[#This Row],[Salary]] &gt;= 80000, OR(Table15[[#This Row],[Last_performance_rating]] = "C", Table15[[#This Row],[Last_performance_rating]] = "PIP")) =  TRUE, 1, 0)</f>
        <v>0</v>
      </c>
    </row>
    <row r="402" spans="1:14" x14ac:dyDescent="0.25">
      <c r="A402" s="2">
        <v>427027</v>
      </c>
      <c r="B402" s="22">
        <v>23685</v>
      </c>
      <c r="C402" s="1" t="s">
        <v>95</v>
      </c>
      <c r="D402" s="1" t="s">
        <v>1395</v>
      </c>
      <c r="E402" s="1" t="s">
        <v>13</v>
      </c>
      <c r="F402" s="22">
        <v>32011</v>
      </c>
      <c r="G402" s="1">
        <v>8</v>
      </c>
      <c r="H402" s="1" t="s">
        <v>29</v>
      </c>
      <c r="I402" s="1">
        <v>0</v>
      </c>
      <c r="J402" s="1"/>
      <c r="K402" s="24">
        <v>40000</v>
      </c>
      <c r="L402" s="1" t="s">
        <v>89</v>
      </c>
      <c r="M402" s="3" t="s">
        <v>41</v>
      </c>
      <c r="N402">
        <f>IF(AND( Table15[[#This Row],[Salary]] &gt;= 80000, OR(Table15[[#This Row],[Last_performance_rating]] = "C", Table15[[#This Row],[Last_performance_rating]] = "PIP")) =  TRUE, 1, 0)</f>
        <v>0</v>
      </c>
    </row>
    <row r="403" spans="1:14" x14ac:dyDescent="0.25">
      <c r="A403" s="2">
        <v>10240</v>
      </c>
      <c r="B403" s="22">
        <v>19085</v>
      </c>
      <c r="C403" s="1" t="s">
        <v>1398</v>
      </c>
      <c r="D403" s="1" t="s">
        <v>1399</v>
      </c>
      <c r="E403" s="1" t="s">
        <v>13</v>
      </c>
      <c r="F403" s="22">
        <v>36074</v>
      </c>
      <c r="G403" s="1">
        <v>9</v>
      </c>
      <c r="H403" s="1" t="s">
        <v>29</v>
      </c>
      <c r="I403" s="1">
        <v>0</v>
      </c>
      <c r="J403" s="1"/>
      <c r="K403" s="24">
        <v>73874</v>
      </c>
      <c r="L403" s="1" t="s">
        <v>71</v>
      </c>
      <c r="M403" s="3" t="s">
        <v>55</v>
      </c>
      <c r="N403">
        <f>IF(AND( Table15[[#This Row],[Salary]] &gt;= 80000, OR(Table15[[#This Row],[Last_performance_rating]] = "C", Table15[[#This Row],[Last_performance_rating]] = "PIP")) =  TRUE, 1, 0)</f>
        <v>0</v>
      </c>
    </row>
    <row r="404" spans="1:14" x14ac:dyDescent="0.25">
      <c r="A404" s="2">
        <v>10241</v>
      </c>
      <c r="B404" s="22">
        <v>21367</v>
      </c>
      <c r="C404" s="1" t="s">
        <v>1402</v>
      </c>
      <c r="D404" s="1" t="s">
        <v>1403</v>
      </c>
      <c r="E404" s="1" t="s">
        <v>13</v>
      </c>
      <c r="F404" s="22">
        <v>32306</v>
      </c>
      <c r="G404" s="1">
        <v>2</v>
      </c>
      <c r="H404" s="1" t="s">
        <v>35</v>
      </c>
      <c r="I404" s="1">
        <v>0</v>
      </c>
      <c r="J404" s="1"/>
      <c r="K404" s="24">
        <v>40000</v>
      </c>
      <c r="L404" s="1" t="s">
        <v>108</v>
      </c>
      <c r="M404" s="3" t="s">
        <v>41</v>
      </c>
      <c r="N404">
        <f>IF(AND( Table15[[#This Row],[Salary]] &gt;= 80000, OR(Table15[[#This Row],[Last_performance_rating]] = "C", Table15[[#This Row],[Last_performance_rating]] = "PIP")) =  TRUE, 1, 0)</f>
        <v>0</v>
      </c>
    </row>
    <row r="405" spans="1:14" x14ac:dyDescent="0.25">
      <c r="A405" s="2">
        <v>10242</v>
      </c>
      <c r="B405" s="22">
        <v>23429</v>
      </c>
      <c r="C405" s="1" t="s">
        <v>667</v>
      </c>
      <c r="D405" s="1" t="s">
        <v>1406</v>
      </c>
      <c r="E405" s="1" t="s">
        <v>13</v>
      </c>
      <c r="F405" s="22">
        <v>32160</v>
      </c>
      <c r="G405" s="1">
        <v>4</v>
      </c>
      <c r="H405" s="1" t="s">
        <v>29</v>
      </c>
      <c r="I405" s="1">
        <v>0</v>
      </c>
      <c r="J405" s="1"/>
      <c r="K405" s="24">
        <v>40000</v>
      </c>
      <c r="L405" s="1" t="s">
        <v>24</v>
      </c>
      <c r="M405" s="3" t="s">
        <v>18</v>
      </c>
      <c r="N405">
        <f>IF(AND( Table15[[#This Row],[Salary]] &gt;= 80000, OR(Table15[[#This Row],[Last_performance_rating]] = "C", Table15[[#This Row],[Last_performance_rating]] = "PIP")) =  TRUE, 1, 0)</f>
        <v>0</v>
      </c>
    </row>
    <row r="406" spans="1:14" x14ac:dyDescent="0.25">
      <c r="A406" s="2">
        <v>10243</v>
      </c>
      <c r="B406" s="22">
        <v>22272</v>
      </c>
      <c r="C406" s="1" t="s">
        <v>336</v>
      </c>
      <c r="D406" s="1" t="s">
        <v>1409</v>
      </c>
      <c r="E406" s="1" t="s">
        <v>13</v>
      </c>
      <c r="F406" s="22">
        <v>31375</v>
      </c>
      <c r="G406" s="1">
        <v>2</v>
      </c>
      <c r="H406" s="1" t="s">
        <v>29</v>
      </c>
      <c r="I406" s="1">
        <v>0</v>
      </c>
      <c r="J406" s="1"/>
      <c r="K406" s="24">
        <v>59332</v>
      </c>
      <c r="L406" s="1" t="s">
        <v>40</v>
      </c>
      <c r="M406" s="3" t="s">
        <v>102</v>
      </c>
      <c r="N406">
        <f>IF(AND( Table15[[#This Row],[Salary]] &gt;= 80000, OR(Table15[[#This Row],[Last_performance_rating]] = "C", Table15[[#This Row],[Last_performance_rating]] = "PIP")) =  TRUE, 1, 0)</f>
        <v>0</v>
      </c>
    </row>
    <row r="407" spans="1:14" x14ac:dyDescent="0.25">
      <c r="A407" s="2">
        <v>219797</v>
      </c>
      <c r="B407" s="22">
        <v>20478</v>
      </c>
      <c r="C407" s="1" t="s">
        <v>1412</v>
      </c>
      <c r="D407" s="1" t="s">
        <v>211</v>
      </c>
      <c r="E407" s="1" t="s">
        <v>13</v>
      </c>
      <c r="F407" s="22">
        <v>32936</v>
      </c>
      <c r="G407" s="1">
        <v>4</v>
      </c>
      <c r="H407" s="1" t="s">
        <v>15</v>
      </c>
      <c r="I407" s="1">
        <v>0</v>
      </c>
      <c r="J407" s="1"/>
      <c r="K407" s="24">
        <v>40000</v>
      </c>
      <c r="L407" s="1" t="s">
        <v>40</v>
      </c>
      <c r="M407" s="3" t="s">
        <v>41</v>
      </c>
      <c r="N407">
        <f>IF(AND( Table15[[#This Row],[Salary]] &gt;= 80000, OR(Table15[[#This Row],[Last_performance_rating]] = "C", Table15[[#This Row],[Last_performance_rating]] = "PIP")) =  TRUE, 1, 0)</f>
        <v>0</v>
      </c>
    </row>
    <row r="408" spans="1:14" x14ac:dyDescent="0.25">
      <c r="A408" s="2">
        <v>10244</v>
      </c>
      <c r="B408" s="22">
        <v>22578</v>
      </c>
      <c r="C408" s="1" t="s">
        <v>853</v>
      </c>
      <c r="D408" s="1" t="s">
        <v>560</v>
      </c>
      <c r="E408" s="1" t="s">
        <v>13</v>
      </c>
      <c r="F408" s="22">
        <v>31404</v>
      </c>
      <c r="G408" s="1">
        <v>8</v>
      </c>
      <c r="H408" s="1" t="s">
        <v>15</v>
      </c>
      <c r="I408" s="1">
        <v>0</v>
      </c>
      <c r="J408" s="1"/>
      <c r="K408" s="24">
        <v>56292</v>
      </c>
      <c r="L408" s="1" t="s">
        <v>17</v>
      </c>
      <c r="M408" s="3" t="s">
        <v>55</v>
      </c>
      <c r="N408">
        <f>IF(AND( Table15[[#This Row],[Salary]] &gt;= 80000, OR(Table15[[#This Row],[Last_performance_rating]] = "C", Table15[[#This Row],[Last_performance_rating]] = "PIP")) =  TRUE, 1, 0)</f>
        <v>0</v>
      </c>
    </row>
    <row r="409" spans="1:14" x14ac:dyDescent="0.25">
      <c r="A409" s="2">
        <v>10245</v>
      </c>
      <c r="B409" s="22">
        <v>22881</v>
      </c>
      <c r="C409" s="1" t="s">
        <v>1416</v>
      </c>
      <c r="D409" s="1" t="s">
        <v>1417</v>
      </c>
      <c r="E409" s="1" t="s">
        <v>33</v>
      </c>
      <c r="F409" s="22">
        <v>31163</v>
      </c>
      <c r="G409" s="1">
        <v>1</v>
      </c>
      <c r="H409" s="1" t="s">
        <v>35</v>
      </c>
      <c r="I409" s="1">
        <v>0</v>
      </c>
      <c r="J409" s="1"/>
      <c r="K409" s="24">
        <v>40000</v>
      </c>
      <c r="L409" s="1" t="s">
        <v>61</v>
      </c>
      <c r="M409" s="3" t="s">
        <v>41</v>
      </c>
      <c r="N409">
        <f>IF(AND( Table15[[#This Row],[Salary]] &gt;= 80000, OR(Table15[[#This Row],[Last_performance_rating]] = "C", Table15[[#This Row],[Last_performance_rating]] = "PIP")) =  TRUE, 1, 0)</f>
        <v>0</v>
      </c>
    </row>
    <row r="410" spans="1:14" x14ac:dyDescent="0.25">
      <c r="A410" s="2">
        <v>293183</v>
      </c>
      <c r="B410" s="22">
        <v>19303</v>
      </c>
      <c r="C410" s="1" t="s">
        <v>1420</v>
      </c>
      <c r="D410" s="1" t="s">
        <v>1421</v>
      </c>
      <c r="E410" s="1" t="s">
        <v>33</v>
      </c>
      <c r="F410" s="22">
        <v>31686</v>
      </c>
      <c r="G410" s="1">
        <v>7</v>
      </c>
      <c r="H410" s="1" t="s">
        <v>15</v>
      </c>
      <c r="I410" s="1">
        <v>0</v>
      </c>
      <c r="J410" s="1"/>
      <c r="K410" s="24">
        <v>56376</v>
      </c>
      <c r="L410" s="1" t="s">
        <v>24</v>
      </c>
      <c r="M410" s="3" t="s">
        <v>55</v>
      </c>
      <c r="N410">
        <f>IF(AND( Table15[[#This Row],[Salary]] &gt;= 80000, OR(Table15[[#This Row],[Last_performance_rating]] = "C", Table15[[#This Row],[Last_performance_rating]] = "PIP")) =  TRUE, 1, 0)</f>
        <v>0</v>
      </c>
    </row>
    <row r="411" spans="1:14" x14ac:dyDescent="0.25">
      <c r="A411" s="2">
        <v>10246</v>
      </c>
      <c r="B411" s="22">
        <v>22820</v>
      </c>
      <c r="C411" s="1" t="s">
        <v>587</v>
      </c>
      <c r="D411" s="1" t="s">
        <v>1424</v>
      </c>
      <c r="E411" s="1" t="s">
        <v>13</v>
      </c>
      <c r="F411" s="22">
        <v>31970</v>
      </c>
      <c r="G411" s="1">
        <v>6</v>
      </c>
      <c r="H411" s="1" t="s">
        <v>35</v>
      </c>
      <c r="I411" s="1">
        <v>0</v>
      </c>
      <c r="J411" s="1"/>
      <c r="K411" s="24">
        <v>40000</v>
      </c>
      <c r="L411" s="1" t="s">
        <v>24</v>
      </c>
      <c r="M411" s="3" t="s">
        <v>18</v>
      </c>
      <c r="N411">
        <f>IF(AND( Table15[[#This Row],[Salary]] &gt;= 80000, OR(Table15[[#This Row],[Last_performance_rating]] = "C", Table15[[#This Row],[Last_performance_rating]] = "PIP")) =  TRUE, 1, 0)</f>
        <v>0</v>
      </c>
    </row>
    <row r="412" spans="1:14" x14ac:dyDescent="0.25">
      <c r="A412" s="2">
        <v>10247</v>
      </c>
      <c r="B412" s="22">
        <v>23558</v>
      </c>
      <c r="C412" s="1" t="s">
        <v>1427</v>
      </c>
      <c r="D412" s="1" t="s">
        <v>1428</v>
      </c>
      <c r="E412" s="1" t="s">
        <v>33</v>
      </c>
      <c r="F412" s="22">
        <v>33830</v>
      </c>
      <c r="G412" s="1">
        <v>8</v>
      </c>
      <c r="H412" s="1" t="s">
        <v>29</v>
      </c>
      <c r="I412" s="1">
        <v>0</v>
      </c>
      <c r="J412" s="1"/>
      <c r="K412" s="24">
        <v>40000</v>
      </c>
      <c r="L412" s="1" t="s">
        <v>24</v>
      </c>
      <c r="M412" s="3" t="s">
        <v>18</v>
      </c>
      <c r="N412">
        <f>IF(AND( Table15[[#This Row],[Salary]] &gt;= 80000, OR(Table15[[#This Row],[Last_performance_rating]] = "C", Table15[[#This Row],[Last_performance_rating]] = "PIP")) =  TRUE, 1, 0)</f>
        <v>0</v>
      </c>
    </row>
    <row r="413" spans="1:14" x14ac:dyDescent="0.25">
      <c r="A413" s="2">
        <v>439788</v>
      </c>
      <c r="B413" s="22">
        <v>21319</v>
      </c>
      <c r="C413" s="1" t="s">
        <v>1431</v>
      </c>
      <c r="D413" s="1" t="s">
        <v>1432</v>
      </c>
      <c r="E413" s="1" t="s">
        <v>33</v>
      </c>
      <c r="F413" s="22">
        <v>31634</v>
      </c>
      <c r="G413" s="1">
        <v>1</v>
      </c>
      <c r="H413" s="1" t="s">
        <v>29</v>
      </c>
      <c r="I413" s="1">
        <v>0</v>
      </c>
      <c r="J413" s="1"/>
      <c r="K413" s="24">
        <v>40000</v>
      </c>
      <c r="L413" s="1" t="s">
        <v>17</v>
      </c>
      <c r="M413" s="3" t="s">
        <v>55</v>
      </c>
      <c r="N413">
        <f>IF(AND( Table15[[#This Row],[Salary]] &gt;= 80000, OR(Table15[[#This Row],[Last_performance_rating]] = "C", Table15[[#This Row],[Last_performance_rating]] = "PIP")) =  TRUE, 1, 0)</f>
        <v>0</v>
      </c>
    </row>
    <row r="414" spans="1:14" x14ac:dyDescent="0.25">
      <c r="A414" s="2">
        <v>439788</v>
      </c>
      <c r="B414" s="22">
        <v>21319</v>
      </c>
      <c r="C414" s="1" t="s">
        <v>1431</v>
      </c>
      <c r="D414" s="1" t="s">
        <v>1432</v>
      </c>
      <c r="E414" s="1" t="s">
        <v>33</v>
      </c>
      <c r="F414" s="22">
        <v>31634</v>
      </c>
      <c r="G414" s="1">
        <v>1</v>
      </c>
      <c r="H414" s="1" t="s">
        <v>29</v>
      </c>
      <c r="I414" s="1">
        <v>0</v>
      </c>
      <c r="J414" s="1"/>
      <c r="K414" s="24">
        <v>40000</v>
      </c>
      <c r="L414" s="1" t="s">
        <v>61</v>
      </c>
      <c r="M414" s="3" t="s">
        <v>55</v>
      </c>
      <c r="N414">
        <f>IF(AND( Table15[[#This Row],[Salary]] &gt;= 80000, OR(Table15[[#This Row],[Last_performance_rating]] = "C", Table15[[#This Row],[Last_performance_rating]] = "PIP")) =  TRUE, 1, 0)</f>
        <v>0</v>
      </c>
    </row>
    <row r="415" spans="1:14" x14ac:dyDescent="0.25">
      <c r="A415" s="2">
        <v>10248</v>
      </c>
      <c r="B415" s="22">
        <v>20356</v>
      </c>
      <c r="C415" s="1" t="s">
        <v>1435</v>
      </c>
      <c r="D415" s="1" t="s">
        <v>195</v>
      </c>
      <c r="E415" s="1" t="s">
        <v>33</v>
      </c>
      <c r="F415" s="22">
        <v>33463</v>
      </c>
      <c r="G415" s="1">
        <v>8</v>
      </c>
      <c r="H415" s="1" t="s">
        <v>29</v>
      </c>
      <c r="I415" s="1">
        <v>0</v>
      </c>
      <c r="J415" s="1"/>
      <c r="K415" s="24">
        <v>58918</v>
      </c>
      <c r="L415" s="1" t="s">
        <v>40</v>
      </c>
      <c r="M415" s="3" t="s">
        <v>41</v>
      </c>
      <c r="N415">
        <f>IF(AND( Table15[[#This Row],[Salary]] &gt;= 80000, OR(Table15[[#This Row],[Last_performance_rating]] = "C", Table15[[#This Row],[Last_performance_rating]] = "PIP")) =  TRUE, 1, 0)</f>
        <v>0</v>
      </c>
    </row>
    <row r="416" spans="1:14" x14ac:dyDescent="0.25">
      <c r="A416" s="2">
        <v>10249</v>
      </c>
      <c r="B416" s="22">
        <v>19885</v>
      </c>
      <c r="C416" s="1" t="s">
        <v>1438</v>
      </c>
      <c r="D416" s="1" t="s">
        <v>1439</v>
      </c>
      <c r="E416" s="1" t="s">
        <v>13</v>
      </c>
      <c r="F416" s="22">
        <v>33580</v>
      </c>
      <c r="G416" s="1">
        <v>5</v>
      </c>
      <c r="H416" s="1" t="s">
        <v>29</v>
      </c>
      <c r="I416" s="1">
        <v>0</v>
      </c>
      <c r="J416" s="1"/>
      <c r="K416" s="24">
        <v>72192</v>
      </c>
      <c r="L416" s="1" t="s">
        <v>17</v>
      </c>
      <c r="M416" s="3" t="s">
        <v>18</v>
      </c>
      <c r="N416">
        <f>IF(AND( Table15[[#This Row],[Salary]] &gt;= 80000, OR(Table15[[#This Row],[Last_performance_rating]] = "C", Table15[[#This Row],[Last_performance_rating]] = "PIP")) =  TRUE, 1, 0)</f>
        <v>0</v>
      </c>
    </row>
    <row r="417" spans="1:14" x14ac:dyDescent="0.25">
      <c r="A417" s="2">
        <v>10249</v>
      </c>
      <c r="B417" s="22">
        <v>19885</v>
      </c>
      <c r="C417" s="1" t="s">
        <v>1438</v>
      </c>
      <c r="D417" s="1" t="s">
        <v>1439</v>
      </c>
      <c r="E417" s="1" t="s">
        <v>13</v>
      </c>
      <c r="F417" s="22">
        <v>33580</v>
      </c>
      <c r="G417" s="1">
        <v>5</v>
      </c>
      <c r="H417" s="1" t="s">
        <v>29</v>
      </c>
      <c r="I417" s="1">
        <v>0</v>
      </c>
      <c r="J417" s="1"/>
      <c r="K417" s="24">
        <v>72192</v>
      </c>
      <c r="L417" s="1" t="s">
        <v>61</v>
      </c>
      <c r="M417" s="3" t="s">
        <v>18</v>
      </c>
      <c r="N417">
        <f>IF(AND( Table15[[#This Row],[Salary]] &gt;= 80000, OR(Table15[[#This Row],[Last_performance_rating]] = "C", Table15[[#This Row],[Last_performance_rating]] = "PIP")) =  TRUE, 1, 0)</f>
        <v>0</v>
      </c>
    </row>
    <row r="418" spans="1:14" x14ac:dyDescent="0.25">
      <c r="A418" s="2">
        <v>431759</v>
      </c>
      <c r="B418" s="22">
        <v>23774</v>
      </c>
      <c r="C418" s="1" t="s">
        <v>1206</v>
      </c>
      <c r="D418" s="1" t="s">
        <v>744</v>
      </c>
      <c r="E418" s="1" t="s">
        <v>13</v>
      </c>
      <c r="F418" s="22">
        <v>32086</v>
      </c>
      <c r="G418" s="1">
        <v>6</v>
      </c>
      <c r="H418" s="1" t="s">
        <v>29</v>
      </c>
      <c r="I418" s="1">
        <v>0</v>
      </c>
      <c r="J418" s="1"/>
      <c r="K418" s="24">
        <v>44859</v>
      </c>
      <c r="L418" s="1" t="s">
        <v>24</v>
      </c>
      <c r="M418" s="3" t="s">
        <v>55</v>
      </c>
      <c r="N418">
        <f>IF(AND( Table15[[#This Row],[Salary]] &gt;= 80000, OR(Table15[[#This Row],[Last_performance_rating]] = "C", Table15[[#This Row],[Last_performance_rating]] = "PIP")) =  TRUE, 1, 0)</f>
        <v>0</v>
      </c>
    </row>
    <row r="419" spans="1:14" x14ac:dyDescent="0.25">
      <c r="A419" s="2">
        <v>431759</v>
      </c>
      <c r="B419" s="22">
        <v>23774</v>
      </c>
      <c r="C419" s="1" t="s">
        <v>1206</v>
      </c>
      <c r="D419" s="1" t="s">
        <v>744</v>
      </c>
      <c r="E419" s="1" t="s">
        <v>13</v>
      </c>
      <c r="F419" s="22">
        <v>32086</v>
      </c>
      <c r="G419" s="1">
        <v>6</v>
      </c>
      <c r="H419" s="1" t="s">
        <v>29</v>
      </c>
      <c r="I419" s="1">
        <v>0</v>
      </c>
      <c r="J419" s="1"/>
      <c r="K419" s="24">
        <v>44859</v>
      </c>
      <c r="L419" s="1" t="s">
        <v>71</v>
      </c>
      <c r="M419" s="3" t="s">
        <v>55</v>
      </c>
      <c r="N419">
        <f>IF(AND( Table15[[#This Row],[Salary]] &gt;= 80000, OR(Table15[[#This Row],[Last_performance_rating]] = "C", Table15[[#This Row],[Last_performance_rating]] = "PIP")) =  TRUE, 1, 0)</f>
        <v>0</v>
      </c>
    </row>
    <row r="420" spans="1:14" x14ac:dyDescent="0.25">
      <c r="A420" s="2">
        <v>10250</v>
      </c>
      <c r="B420" s="22">
        <v>21409</v>
      </c>
      <c r="C420" s="1" t="s">
        <v>1444</v>
      </c>
      <c r="D420" s="1" t="s">
        <v>1445</v>
      </c>
      <c r="E420" s="1" t="s">
        <v>13</v>
      </c>
      <c r="F420" s="22">
        <v>33846</v>
      </c>
      <c r="G420" s="1">
        <v>7</v>
      </c>
      <c r="H420" s="1" t="s">
        <v>29</v>
      </c>
      <c r="I420" s="1">
        <v>0</v>
      </c>
      <c r="J420" s="1"/>
      <c r="K420" s="24">
        <v>50330</v>
      </c>
      <c r="L420" s="1" t="s">
        <v>71</v>
      </c>
      <c r="M420" s="3" t="s">
        <v>18</v>
      </c>
      <c r="N420">
        <f>IF(AND( Table15[[#This Row],[Salary]] &gt;= 80000, OR(Table15[[#This Row],[Last_performance_rating]] = "C", Table15[[#This Row],[Last_performance_rating]] = "PIP")) =  TRUE, 1, 0)</f>
        <v>0</v>
      </c>
    </row>
    <row r="421" spans="1:14" x14ac:dyDescent="0.25">
      <c r="A421" s="2">
        <v>426193</v>
      </c>
      <c r="B421" s="22">
        <v>19765</v>
      </c>
      <c r="C421" s="1" t="s">
        <v>1448</v>
      </c>
      <c r="D421" s="1" t="s">
        <v>1449</v>
      </c>
      <c r="E421" s="1" t="s">
        <v>13</v>
      </c>
      <c r="F421" s="22">
        <v>31129</v>
      </c>
      <c r="G421" s="1">
        <v>7</v>
      </c>
      <c r="H421" s="1" t="s">
        <v>29</v>
      </c>
      <c r="I421" s="1">
        <v>1</v>
      </c>
      <c r="J421" s="22">
        <v>32008</v>
      </c>
      <c r="K421" s="24">
        <v>75063</v>
      </c>
      <c r="L421" s="1" t="s">
        <v>40</v>
      </c>
      <c r="M421" s="3" t="s">
        <v>41</v>
      </c>
      <c r="N421">
        <f>IF(AND( Table15[[#This Row],[Salary]] &gt;= 80000, OR(Table15[[#This Row],[Last_performance_rating]] = "C", Table15[[#This Row],[Last_performance_rating]] = "PIP")) =  TRUE, 1, 0)</f>
        <v>0</v>
      </c>
    </row>
    <row r="422" spans="1:14" x14ac:dyDescent="0.25">
      <c r="A422" s="2">
        <v>10251</v>
      </c>
      <c r="B422" s="22">
        <v>20935</v>
      </c>
      <c r="C422" s="1" t="s">
        <v>1453</v>
      </c>
      <c r="D422" s="1" t="s">
        <v>301</v>
      </c>
      <c r="E422" s="1" t="s">
        <v>13</v>
      </c>
      <c r="F422" s="22">
        <v>33780</v>
      </c>
      <c r="G422" s="1">
        <v>2</v>
      </c>
      <c r="H422" s="1" t="s">
        <v>29</v>
      </c>
      <c r="I422" s="1">
        <v>0</v>
      </c>
      <c r="J422" s="1"/>
      <c r="K422" s="24">
        <v>61743</v>
      </c>
      <c r="L422" s="1" t="s">
        <v>61</v>
      </c>
      <c r="M422" s="3" t="s">
        <v>41</v>
      </c>
      <c r="N422">
        <f>IF(AND( Table15[[#This Row],[Salary]] &gt;= 80000, OR(Table15[[#This Row],[Last_performance_rating]] = "C", Table15[[#This Row],[Last_performance_rating]] = "PIP")) =  TRUE, 1, 0)</f>
        <v>0</v>
      </c>
    </row>
    <row r="423" spans="1:14" x14ac:dyDescent="0.25">
      <c r="A423" s="2">
        <v>10252</v>
      </c>
      <c r="B423" s="22">
        <v>22311</v>
      </c>
      <c r="C423" s="1" t="s">
        <v>1455</v>
      </c>
      <c r="D423" s="1" t="s">
        <v>1456</v>
      </c>
      <c r="E423" s="1" t="s">
        <v>33</v>
      </c>
      <c r="F423" s="22">
        <v>33185</v>
      </c>
      <c r="G423" s="1">
        <v>4</v>
      </c>
      <c r="H423" s="1" t="s">
        <v>29</v>
      </c>
      <c r="I423" s="1">
        <v>0</v>
      </c>
      <c r="J423" s="1"/>
      <c r="K423" s="24">
        <v>40000</v>
      </c>
      <c r="L423" s="1" t="s">
        <v>24</v>
      </c>
      <c r="M423" s="3" t="s">
        <v>18</v>
      </c>
      <c r="N423">
        <f>IF(AND( Table15[[#This Row],[Salary]] &gt;= 80000, OR(Table15[[#This Row],[Last_performance_rating]] = "C", Table15[[#This Row],[Last_performance_rating]] = "PIP")) =  TRUE, 1, 0)</f>
        <v>0</v>
      </c>
    </row>
    <row r="424" spans="1:14" x14ac:dyDescent="0.25">
      <c r="A424" s="2">
        <v>416364</v>
      </c>
      <c r="B424" s="22">
        <v>22682</v>
      </c>
      <c r="C424" s="1" t="s">
        <v>836</v>
      </c>
      <c r="D424" s="1" t="s">
        <v>1458</v>
      </c>
      <c r="E424" s="1" t="s">
        <v>13</v>
      </c>
      <c r="F424" s="22">
        <v>32838</v>
      </c>
      <c r="G424" s="1">
        <v>1</v>
      </c>
      <c r="H424" s="1" t="s">
        <v>35</v>
      </c>
      <c r="I424" s="1">
        <v>0</v>
      </c>
      <c r="J424" s="1"/>
      <c r="K424" s="24">
        <v>64980</v>
      </c>
      <c r="L424" s="1" t="s">
        <v>24</v>
      </c>
      <c r="M424" s="3" t="s">
        <v>18</v>
      </c>
      <c r="N424">
        <f>IF(AND( Table15[[#This Row],[Salary]] &gt;= 80000, OR(Table15[[#This Row],[Last_performance_rating]] = "C", Table15[[#This Row],[Last_performance_rating]] = "PIP")) =  TRUE, 1, 0)</f>
        <v>0</v>
      </c>
    </row>
    <row r="425" spans="1:14" x14ac:dyDescent="0.25">
      <c r="A425" s="2">
        <v>416364</v>
      </c>
      <c r="B425" s="22">
        <v>22682</v>
      </c>
      <c r="C425" s="1" t="s">
        <v>836</v>
      </c>
      <c r="D425" s="1" t="s">
        <v>1458</v>
      </c>
      <c r="E425" s="1" t="s">
        <v>13</v>
      </c>
      <c r="F425" s="22">
        <v>32838</v>
      </c>
      <c r="G425" s="1">
        <v>1</v>
      </c>
      <c r="H425" s="1" t="s">
        <v>35</v>
      </c>
      <c r="I425" s="1">
        <v>0</v>
      </c>
      <c r="J425" s="1"/>
      <c r="K425" s="24">
        <v>64980</v>
      </c>
      <c r="L425" s="1" t="s">
        <v>17</v>
      </c>
      <c r="M425" s="3" t="s">
        <v>18</v>
      </c>
      <c r="N425">
        <f>IF(AND( Table15[[#This Row],[Salary]] &gt;= 80000, OR(Table15[[#This Row],[Last_performance_rating]] = "C", Table15[[#This Row],[Last_performance_rating]] = "PIP")) =  TRUE, 1, 0)</f>
        <v>0</v>
      </c>
    </row>
    <row r="426" spans="1:14" x14ac:dyDescent="0.25">
      <c r="A426" s="2">
        <v>10253</v>
      </c>
      <c r="B426" s="22">
        <v>23693</v>
      </c>
      <c r="C426" s="1" t="s">
        <v>1461</v>
      </c>
      <c r="D426" s="1" t="s">
        <v>1462</v>
      </c>
      <c r="E426" s="1" t="s">
        <v>33</v>
      </c>
      <c r="F426" s="22">
        <v>31099</v>
      </c>
      <c r="G426" s="1">
        <v>9</v>
      </c>
      <c r="H426" s="1" t="s">
        <v>370</v>
      </c>
      <c r="I426" s="1">
        <v>1</v>
      </c>
      <c r="J426" s="22">
        <v>32430</v>
      </c>
      <c r="K426" s="24">
        <v>62494</v>
      </c>
      <c r="L426" s="1" t="s">
        <v>40</v>
      </c>
      <c r="M426" s="3" t="s">
        <v>41</v>
      </c>
      <c r="N426">
        <f>IF(AND( Table15[[#This Row],[Salary]] &gt;= 80000, OR(Table15[[#This Row],[Last_performance_rating]] = "C", Table15[[#This Row],[Last_performance_rating]] = "PIP")) =  TRUE, 1, 0)</f>
        <v>0</v>
      </c>
    </row>
    <row r="427" spans="1:14" x14ac:dyDescent="0.25">
      <c r="A427" s="2">
        <v>10254</v>
      </c>
      <c r="B427" s="22">
        <v>21891</v>
      </c>
      <c r="C427" s="1" t="s">
        <v>1465</v>
      </c>
      <c r="D427" s="1" t="s">
        <v>432</v>
      </c>
      <c r="E427" s="1" t="s">
        <v>13</v>
      </c>
      <c r="F427" s="22">
        <v>33038</v>
      </c>
      <c r="G427" s="1">
        <v>5</v>
      </c>
      <c r="H427" s="1" t="s">
        <v>15</v>
      </c>
      <c r="I427" s="1">
        <v>1</v>
      </c>
      <c r="J427" s="22">
        <v>37794</v>
      </c>
      <c r="K427" s="24">
        <v>60222</v>
      </c>
      <c r="L427" s="1" t="s">
        <v>40</v>
      </c>
      <c r="M427" s="3" t="s">
        <v>41</v>
      </c>
      <c r="N427">
        <f>IF(AND( Table15[[#This Row],[Salary]] &gt;= 80000, OR(Table15[[#This Row],[Last_performance_rating]] = "C", Table15[[#This Row],[Last_performance_rating]] = "PIP")) =  TRUE, 1, 0)</f>
        <v>0</v>
      </c>
    </row>
    <row r="428" spans="1:14" x14ac:dyDescent="0.25">
      <c r="A428" s="2">
        <v>207791</v>
      </c>
      <c r="B428" s="22">
        <v>21062</v>
      </c>
      <c r="C428" s="1" t="s">
        <v>1469</v>
      </c>
      <c r="D428" s="1" t="s">
        <v>1470</v>
      </c>
      <c r="E428" s="1" t="s">
        <v>13</v>
      </c>
      <c r="F428" s="22">
        <v>32375</v>
      </c>
      <c r="G428" s="1">
        <v>3</v>
      </c>
      <c r="H428" s="1" t="s">
        <v>29</v>
      </c>
      <c r="I428" s="1">
        <v>0</v>
      </c>
      <c r="J428" s="1"/>
      <c r="K428" s="24">
        <v>43645</v>
      </c>
      <c r="L428" s="1" t="s">
        <v>17</v>
      </c>
      <c r="M428" s="3" t="s">
        <v>55</v>
      </c>
      <c r="N428">
        <f>IF(AND( Table15[[#This Row],[Salary]] &gt;= 80000, OR(Table15[[#This Row],[Last_performance_rating]] = "C", Table15[[#This Row],[Last_performance_rating]] = "PIP")) =  TRUE, 1, 0)</f>
        <v>0</v>
      </c>
    </row>
    <row r="429" spans="1:14" x14ac:dyDescent="0.25">
      <c r="A429" s="2">
        <v>10255</v>
      </c>
      <c r="B429" s="22">
        <v>23415</v>
      </c>
      <c r="C429" s="1" t="s">
        <v>230</v>
      </c>
      <c r="D429" s="1" t="s">
        <v>1473</v>
      </c>
      <c r="E429" s="1" t="s">
        <v>13</v>
      </c>
      <c r="F429" s="22">
        <v>34101</v>
      </c>
      <c r="G429" s="1">
        <v>9</v>
      </c>
      <c r="H429" s="1" t="s">
        <v>29</v>
      </c>
      <c r="I429" s="1">
        <v>0</v>
      </c>
      <c r="J429" s="1"/>
      <c r="K429" s="24">
        <v>63822</v>
      </c>
      <c r="L429" s="1" t="s">
        <v>24</v>
      </c>
      <c r="M429" s="3" t="s">
        <v>18</v>
      </c>
      <c r="N429">
        <f>IF(AND( Table15[[#This Row],[Salary]] &gt;= 80000, OR(Table15[[#This Row],[Last_performance_rating]] = "C", Table15[[#This Row],[Last_performance_rating]] = "PIP")) =  TRUE, 1, 0)</f>
        <v>0</v>
      </c>
    </row>
    <row r="430" spans="1:14" x14ac:dyDescent="0.25">
      <c r="A430" s="2">
        <v>10256</v>
      </c>
      <c r="B430" s="22">
        <v>22252</v>
      </c>
      <c r="C430" s="1" t="s">
        <v>1431</v>
      </c>
      <c r="D430" s="1" t="s">
        <v>1476</v>
      </c>
      <c r="E430" s="1" t="s">
        <v>13</v>
      </c>
      <c r="F430" s="22">
        <v>31332</v>
      </c>
      <c r="G430" s="1">
        <v>5</v>
      </c>
      <c r="H430" s="1" t="s">
        <v>15</v>
      </c>
      <c r="I430" s="1">
        <v>0</v>
      </c>
      <c r="J430" s="1"/>
      <c r="K430" s="24">
        <v>71305</v>
      </c>
      <c r="L430" s="1" t="s">
        <v>40</v>
      </c>
      <c r="M430" s="3" t="s">
        <v>41</v>
      </c>
      <c r="N430">
        <f>IF(AND( Table15[[#This Row],[Salary]] &gt;= 80000, OR(Table15[[#This Row],[Last_performance_rating]] = "C", Table15[[#This Row],[Last_performance_rating]] = "PIP")) =  TRUE, 1, 0)</f>
        <v>0</v>
      </c>
    </row>
    <row r="431" spans="1:14" x14ac:dyDescent="0.25">
      <c r="A431" s="2">
        <v>277176</v>
      </c>
      <c r="B431" s="22">
        <v>20643</v>
      </c>
      <c r="C431" s="1" t="s">
        <v>43</v>
      </c>
      <c r="D431" s="1" t="s">
        <v>38</v>
      </c>
      <c r="E431" s="1" t="s">
        <v>13</v>
      </c>
      <c r="F431" s="22">
        <v>34686</v>
      </c>
      <c r="G431" s="1">
        <v>2</v>
      </c>
      <c r="H431" s="1" t="s">
        <v>29</v>
      </c>
      <c r="I431" s="1">
        <v>0</v>
      </c>
      <c r="J431" s="1"/>
      <c r="K431" s="24">
        <v>57027</v>
      </c>
      <c r="L431" s="1" t="s">
        <v>61</v>
      </c>
      <c r="M431" s="3" t="s">
        <v>41</v>
      </c>
      <c r="N431">
        <f>IF(AND( Table15[[#This Row],[Salary]] &gt;= 80000, OR(Table15[[#This Row],[Last_performance_rating]] = "C", Table15[[#This Row],[Last_performance_rating]] = "PIP")) =  TRUE, 1, 0)</f>
        <v>0</v>
      </c>
    </row>
    <row r="432" spans="1:14" x14ac:dyDescent="0.25">
      <c r="A432" s="2">
        <v>10257</v>
      </c>
      <c r="B432" s="22">
        <v>21075</v>
      </c>
      <c r="C432" s="1" t="s">
        <v>1481</v>
      </c>
      <c r="D432" s="1" t="s">
        <v>1482</v>
      </c>
      <c r="E432" s="1" t="s">
        <v>13</v>
      </c>
      <c r="F432" s="22">
        <v>31629</v>
      </c>
      <c r="G432" s="1">
        <v>3</v>
      </c>
      <c r="H432" s="1" t="s">
        <v>35</v>
      </c>
      <c r="I432" s="1">
        <v>0</v>
      </c>
      <c r="J432" s="1"/>
      <c r="K432" s="24">
        <v>40000</v>
      </c>
      <c r="L432" s="1" t="s">
        <v>24</v>
      </c>
      <c r="M432" s="3" t="s">
        <v>156</v>
      </c>
      <c r="N432">
        <f>IF(AND( Table15[[#This Row],[Salary]] &gt;= 80000, OR(Table15[[#This Row],[Last_performance_rating]] = "C", Table15[[#This Row],[Last_performance_rating]] = "PIP")) =  TRUE, 1, 0)</f>
        <v>0</v>
      </c>
    </row>
    <row r="433" spans="1:14" x14ac:dyDescent="0.25">
      <c r="A433" s="2">
        <v>10258</v>
      </c>
      <c r="B433" s="22">
        <v>20435</v>
      </c>
      <c r="C433" s="1" t="s">
        <v>320</v>
      </c>
      <c r="D433" s="1" t="s">
        <v>864</v>
      </c>
      <c r="E433" s="1" t="s">
        <v>33</v>
      </c>
      <c r="F433" s="22">
        <v>31184</v>
      </c>
      <c r="G433" s="1">
        <v>8</v>
      </c>
      <c r="H433" s="1" t="s">
        <v>35</v>
      </c>
      <c r="I433" s="1">
        <v>0</v>
      </c>
      <c r="J433" s="1"/>
      <c r="K433" s="24">
        <v>66280</v>
      </c>
      <c r="L433" s="1" t="s">
        <v>17</v>
      </c>
      <c r="M433" s="3" t="s">
        <v>18</v>
      </c>
      <c r="N433">
        <f>IF(AND( Table15[[#This Row],[Salary]] &gt;= 80000, OR(Table15[[#This Row],[Last_performance_rating]] = "C", Table15[[#This Row],[Last_performance_rating]] = "PIP")) =  TRUE, 1, 0)</f>
        <v>0</v>
      </c>
    </row>
    <row r="434" spans="1:14" x14ac:dyDescent="0.25">
      <c r="A434" s="2">
        <v>22638</v>
      </c>
      <c r="B434" s="22">
        <v>23373</v>
      </c>
      <c r="C434" s="1" t="s">
        <v>1487</v>
      </c>
      <c r="D434" s="1" t="s">
        <v>1488</v>
      </c>
      <c r="E434" s="1" t="s">
        <v>33</v>
      </c>
      <c r="F434" s="22">
        <v>32365</v>
      </c>
      <c r="G434" s="1">
        <v>9</v>
      </c>
      <c r="H434" s="1" t="s">
        <v>15</v>
      </c>
      <c r="I434" s="1">
        <v>0</v>
      </c>
      <c r="J434" s="1"/>
      <c r="K434" s="24">
        <v>68821</v>
      </c>
      <c r="L434" s="1" t="s">
        <v>17</v>
      </c>
      <c r="M434" s="3" t="s">
        <v>156</v>
      </c>
      <c r="N434">
        <f>IF(AND( Table15[[#This Row],[Salary]] &gt;= 80000, OR(Table15[[#This Row],[Last_performance_rating]] = "C", Table15[[#This Row],[Last_performance_rating]] = "PIP")) =  TRUE, 1, 0)</f>
        <v>0</v>
      </c>
    </row>
    <row r="435" spans="1:14" x14ac:dyDescent="0.25">
      <c r="A435" s="2">
        <v>10259</v>
      </c>
      <c r="B435" s="22">
        <v>23705</v>
      </c>
      <c r="C435" s="1" t="s">
        <v>1491</v>
      </c>
      <c r="D435" s="1" t="s">
        <v>1492</v>
      </c>
      <c r="E435" s="1" t="s">
        <v>13</v>
      </c>
      <c r="F435" s="22">
        <v>31588</v>
      </c>
      <c r="G435" s="1">
        <v>1</v>
      </c>
      <c r="H435" s="1" t="s">
        <v>29</v>
      </c>
      <c r="I435" s="1">
        <v>0</v>
      </c>
      <c r="J435" s="1"/>
      <c r="K435" s="24">
        <v>88991</v>
      </c>
      <c r="L435" s="1" t="s">
        <v>125</v>
      </c>
      <c r="M435" s="3" t="s">
        <v>41</v>
      </c>
      <c r="N435">
        <f>IF(AND( Table15[[#This Row],[Salary]] &gt;= 80000, OR(Table15[[#This Row],[Last_performance_rating]] = "C", Table15[[#This Row],[Last_performance_rating]] = "PIP")) =  TRUE, 1, 0)</f>
        <v>0</v>
      </c>
    </row>
    <row r="436" spans="1:14" x14ac:dyDescent="0.25">
      <c r="A436" s="2">
        <v>10259</v>
      </c>
      <c r="B436" s="22">
        <v>23705</v>
      </c>
      <c r="C436" s="1" t="s">
        <v>1491</v>
      </c>
      <c r="D436" s="1" t="s">
        <v>1492</v>
      </c>
      <c r="E436" s="1" t="s">
        <v>13</v>
      </c>
      <c r="F436" s="22">
        <v>31588</v>
      </c>
      <c r="G436" s="1">
        <v>1</v>
      </c>
      <c r="H436" s="1" t="s">
        <v>29</v>
      </c>
      <c r="I436" s="1">
        <v>0</v>
      </c>
      <c r="J436" s="1"/>
      <c r="K436" s="24">
        <v>88991</v>
      </c>
      <c r="L436" s="1" t="s">
        <v>89</v>
      </c>
      <c r="M436" s="3" t="s">
        <v>41</v>
      </c>
      <c r="N436">
        <f>IF(AND( Table15[[#This Row],[Salary]] &gt;= 80000, OR(Table15[[#This Row],[Last_performance_rating]] = "C", Table15[[#This Row],[Last_performance_rating]] = "PIP")) =  TRUE, 1, 0)</f>
        <v>0</v>
      </c>
    </row>
    <row r="437" spans="1:14" x14ac:dyDescent="0.25">
      <c r="A437" s="2">
        <v>205714</v>
      </c>
      <c r="B437" s="22">
        <v>19963</v>
      </c>
      <c r="C437" s="1" t="s">
        <v>1495</v>
      </c>
      <c r="D437" s="1" t="s">
        <v>1222</v>
      </c>
      <c r="E437" s="1" t="s">
        <v>13</v>
      </c>
      <c r="F437" s="22">
        <v>33584</v>
      </c>
      <c r="G437" s="1">
        <v>1</v>
      </c>
      <c r="H437" s="1" t="s">
        <v>35</v>
      </c>
      <c r="I437" s="1">
        <v>0</v>
      </c>
      <c r="J437" s="1"/>
      <c r="K437" s="24">
        <v>51903</v>
      </c>
      <c r="L437" s="1" t="s">
        <v>17</v>
      </c>
      <c r="M437" s="3" t="s">
        <v>18</v>
      </c>
      <c r="N437">
        <f>IF(AND( Table15[[#This Row],[Salary]] &gt;= 80000, OR(Table15[[#This Row],[Last_performance_rating]] = "C", Table15[[#This Row],[Last_performance_rating]] = "PIP")) =  TRUE, 1, 0)</f>
        <v>0</v>
      </c>
    </row>
    <row r="438" spans="1:14" x14ac:dyDescent="0.25">
      <c r="A438" s="2">
        <v>10260</v>
      </c>
      <c r="B438" s="22">
        <v>22476</v>
      </c>
      <c r="C438" s="1" t="s">
        <v>1498</v>
      </c>
      <c r="D438" s="1" t="s">
        <v>1499</v>
      </c>
      <c r="E438" s="1" t="s">
        <v>33</v>
      </c>
      <c r="F438" s="22">
        <v>33341</v>
      </c>
      <c r="G438" s="1">
        <v>10</v>
      </c>
      <c r="H438" s="1" t="s">
        <v>138</v>
      </c>
      <c r="I438" s="1">
        <v>0</v>
      </c>
      <c r="J438" s="1"/>
      <c r="K438" s="24">
        <v>60879</v>
      </c>
      <c r="L438" s="1" t="s">
        <v>24</v>
      </c>
      <c r="M438" s="3" t="s">
        <v>18</v>
      </c>
      <c r="N438">
        <f>IF(AND( Table15[[#This Row],[Salary]] &gt;= 80000, OR(Table15[[#This Row],[Last_performance_rating]] = "C", Table15[[#This Row],[Last_performance_rating]] = "PIP")) =  TRUE, 1, 0)</f>
        <v>0</v>
      </c>
    </row>
    <row r="439" spans="1:14" x14ac:dyDescent="0.25">
      <c r="A439" s="2">
        <v>10261</v>
      </c>
      <c r="B439" s="22">
        <v>21909</v>
      </c>
      <c r="C439" s="1" t="s">
        <v>1501</v>
      </c>
      <c r="D439" s="1" t="s">
        <v>1502</v>
      </c>
      <c r="E439" s="1" t="s">
        <v>13</v>
      </c>
      <c r="F439" s="22">
        <v>34262</v>
      </c>
      <c r="G439" s="1">
        <v>4</v>
      </c>
      <c r="H439" s="1" t="s">
        <v>15</v>
      </c>
      <c r="I439" s="1">
        <v>0</v>
      </c>
      <c r="J439" s="1"/>
      <c r="K439" s="24">
        <v>40000</v>
      </c>
      <c r="L439" s="1" t="s">
        <v>17</v>
      </c>
      <c r="M439" s="3" t="s">
        <v>18</v>
      </c>
      <c r="N439">
        <f>IF(AND( Table15[[#This Row],[Salary]] &gt;= 80000, OR(Table15[[#This Row],[Last_performance_rating]] = "C", Table15[[#This Row],[Last_performance_rating]] = "PIP")) =  TRUE, 1, 0)</f>
        <v>0</v>
      </c>
    </row>
    <row r="440" spans="1:14" x14ac:dyDescent="0.25">
      <c r="A440" s="2">
        <v>218042</v>
      </c>
      <c r="B440" s="22">
        <v>21926</v>
      </c>
      <c r="C440" s="1" t="s">
        <v>1010</v>
      </c>
      <c r="D440" s="1" t="s">
        <v>1504</v>
      </c>
      <c r="E440" s="1" t="s">
        <v>13</v>
      </c>
      <c r="F440" s="22">
        <v>34919</v>
      </c>
      <c r="G440" s="1">
        <v>1</v>
      </c>
      <c r="H440" s="1" t="s">
        <v>29</v>
      </c>
      <c r="I440" s="1">
        <v>0</v>
      </c>
      <c r="J440" s="1"/>
      <c r="K440" s="24">
        <v>74213</v>
      </c>
      <c r="L440" s="1" t="s">
        <v>108</v>
      </c>
      <c r="M440" s="3" t="s">
        <v>41</v>
      </c>
      <c r="N440">
        <f>IF(AND( Table15[[#This Row],[Salary]] &gt;= 80000, OR(Table15[[#This Row],[Last_performance_rating]] = "C", Table15[[#This Row],[Last_performance_rating]] = "PIP")) =  TRUE, 1, 0)</f>
        <v>0</v>
      </c>
    </row>
    <row r="441" spans="1:14" x14ac:dyDescent="0.25">
      <c r="A441" s="2">
        <v>10262</v>
      </c>
      <c r="B441" s="22">
        <v>20305</v>
      </c>
      <c r="C441" s="1" t="s">
        <v>1507</v>
      </c>
      <c r="D441" s="1" t="s">
        <v>1508</v>
      </c>
      <c r="E441" s="1" t="s">
        <v>33</v>
      </c>
      <c r="F441" s="22">
        <v>33812</v>
      </c>
      <c r="G441" s="1">
        <v>5</v>
      </c>
      <c r="H441" s="1" t="s">
        <v>29</v>
      </c>
      <c r="I441" s="1">
        <v>1</v>
      </c>
      <c r="J441" s="22">
        <v>36430</v>
      </c>
      <c r="K441" s="24">
        <v>63005</v>
      </c>
      <c r="L441" s="1" t="s">
        <v>40</v>
      </c>
      <c r="M441" s="3" t="s">
        <v>41</v>
      </c>
      <c r="N441">
        <f>IF(AND( Table15[[#This Row],[Salary]] &gt;= 80000, OR(Table15[[#This Row],[Last_performance_rating]] = "C", Table15[[#This Row],[Last_performance_rating]] = "PIP")) =  TRUE, 1, 0)</f>
        <v>0</v>
      </c>
    </row>
    <row r="442" spans="1:14" x14ac:dyDescent="0.25">
      <c r="A442" s="2">
        <v>10263</v>
      </c>
      <c r="B442" s="22">
        <v>22320</v>
      </c>
      <c r="C442" s="1" t="s">
        <v>1512</v>
      </c>
      <c r="D442" s="1" t="s">
        <v>1513</v>
      </c>
      <c r="E442" s="1" t="s">
        <v>13</v>
      </c>
      <c r="F442" s="22">
        <v>34370</v>
      </c>
      <c r="G442" s="1">
        <v>7</v>
      </c>
      <c r="H442" s="1" t="s">
        <v>29</v>
      </c>
      <c r="I442" s="1">
        <v>0</v>
      </c>
      <c r="J442" s="1"/>
      <c r="K442" s="24">
        <v>67883</v>
      </c>
      <c r="L442" s="1" t="s">
        <v>108</v>
      </c>
      <c r="M442" s="3" t="s">
        <v>41</v>
      </c>
      <c r="N442">
        <f>IF(AND( Table15[[#This Row],[Salary]] &gt;= 80000, OR(Table15[[#This Row],[Last_performance_rating]] = "C", Table15[[#This Row],[Last_performance_rating]] = "PIP")) =  TRUE, 1, 0)</f>
        <v>0</v>
      </c>
    </row>
    <row r="443" spans="1:14" x14ac:dyDescent="0.25">
      <c r="A443" s="2">
        <v>36965</v>
      </c>
      <c r="B443" s="22">
        <v>19366</v>
      </c>
      <c r="C443" s="1" t="s">
        <v>1515</v>
      </c>
      <c r="D443" s="1" t="s">
        <v>1516</v>
      </c>
      <c r="E443" s="1" t="s">
        <v>13</v>
      </c>
      <c r="F443" s="22">
        <v>32210</v>
      </c>
      <c r="G443" s="1">
        <v>2</v>
      </c>
      <c r="H443" s="1" t="s">
        <v>35</v>
      </c>
      <c r="I443" s="1">
        <v>1</v>
      </c>
      <c r="J443" s="22">
        <v>33747</v>
      </c>
      <c r="K443" s="24">
        <v>51883</v>
      </c>
      <c r="L443" s="1" t="s">
        <v>17</v>
      </c>
      <c r="M443" s="3" t="s">
        <v>18</v>
      </c>
      <c r="N443">
        <f>IF(AND( Table15[[#This Row],[Salary]] &gt;= 80000, OR(Table15[[#This Row],[Last_performance_rating]] = "C", Table15[[#This Row],[Last_performance_rating]] = "PIP")) =  TRUE, 1, 0)</f>
        <v>0</v>
      </c>
    </row>
    <row r="444" spans="1:14" x14ac:dyDescent="0.25">
      <c r="A444" s="2">
        <v>10264</v>
      </c>
      <c r="B444" s="22">
        <v>21436</v>
      </c>
      <c r="C444" s="1" t="s">
        <v>1520</v>
      </c>
      <c r="D444" s="1" t="s">
        <v>1521</v>
      </c>
      <c r="E444" s="1" t="s">
        <v>33</v>
      </c>
      <c r="F444" s="22">
        <v>35627</v>
      </c>
      <c r="G444" s="1">
        <v>6</v>
      </c>
      <c r="H444" s="1" t="s">
        <v>29</v>
      </c>
      <c r="I444" s="1">
        <v>0</v>
      </c>
      <c r="J444" s="1"/>
      <c r="K444" s="24">
        <v>60522</v>
      </c>
      <c r="L444" s="1" t="s">
        <v>17</v>
      </c>
      <c r="M444" s="3" t="s">
        <v>55</v>
      </c>
      <c r="N444">
        <f>IF(AND( Table15[[#This Row],[Salary]] &gt;= 80000, OR(Table15[[#This Row],[Last_performance_rating]] = "C", Table15[[#This Row],[Last_performance_rating]] = "PIP")) =  TRUE, 1, 0)</f>
        <v>0</v>
      </c>
    </row>
    <row r="445" spans="1:14" x14ac:dyDescent="0.25">
      <c r="A445" s="2">
        <v>10265</v>
      </c>
      <c r="B445" s="22">
        <v>22251</v>
      </c>
      <c r="C445" s="1" t="s">
        <v>1416</v>
      </c>
      <c r="D445" s="1" t="s">
        <v>1523</v>
      </c>
      <c r="E445" s="1" t="s">
        <v>13</v>
      </c>
      <c r="F445" s="22">
        <v>32702</v>
      </c>
      <c r="G445" s="1">
        <v>5</v>
      </c>
      <c r="H445" s="1" t="s">
        <v>15</v>
      </c>
      <c r="I445" s="1">
        <v>0</v>
      </c>
      <c r="J445" s="1"/>
      <c r="K445" s="24">
        <v>46382</v>
      </c>
      <c r="L445" s="1" t="s">
        <v>71</v>
      </c>
      <c r="M445" s="3" t="s">
        <v>18</v>
      </c>
      <c r="N445">
        <f>IF(AND( Table15[[#This Row],[Salary]] &gt;= 80000, OR(Table15[[#This Row],[Last_performance_rating]] = "C", Table15[[#This Row],[Last_performance_rating]] = "PIP")) =  TRUE, 1, 0)</f>
        <v>0</v>
      </c>
    </row>
    <row r="446" spans="1:14" x14ac:dyDescent="0.25">
      <c r="A446" s="2">
        <v>218058</v>
      </c>
      <c r="B446" s="22">
        <v>21393</v>
      </c>
      <c r="C446" s="1" t="s">
        <v>1481</v>
      </c>
      <c r="D446" s="1" t="s">
        <v>1526</v>
      </c>
      <c r="E446" s="1" t="s">
        <v>13</v>
      </c>
      <c r="F446" s="22">
        <v>32385</v>
      </c>
      <c r="G446" s="1">
        <v>1</v>
      </c>
      <c r="H446" s="1" t="s">
        <v>29</v>
      </c>
      <c r="I446" s="1">
        <v>0</v>
      </c>
      <c r="J446" s="1"/>
      <c r="K446" s="24">
        <v>67484</v>
      </c>
      <c r="L446" s="1" t="s">
        <v>125</v>
      </c>
      <c r="M446" s="3" t="s">
        <v>102</v>
      </c>
      <c r="N446">
        <f>IF(AND( Table15[[#This Row],[Salary]] &gt;= 80000, OR(Table15[[#This Row],[Last_performance_rating]] = "C", Table15[[#This Row],[Last_performance_rating]] = "PIP")) =  TRUE, 1, 0)</f>
        <v>0</v>
      </c>
    </row>
    <row r="447" spans="1:14" x14ac:dyDescent="0.25">
      <c r="A447" s="2">
        <v>10266</v>
      </c>
      <c r="B447" s="22">
        <v>21240</v>
      </c>
      <c r="C447" s="1" t="s">
        <v>1529</v>
      </c>
      <c r="D447" s="1" t="s">
        <v>1003</v>
      </c>
      <c r="E447" s="1" t="s">
        <v>13</v>
      </c>
      <c r="F447" s="22">
        <v>33018</v>
      </c>
      <c r="G447" s="1">
        <v>7</v>
      </c>
      <c r="H447" s="1" t="s">
        <v>35</v>
      </c>
      <c r="I447" s="1">
        <v>0</v>
      </c>
      <c r="J447" s="1"/>
      <c r="K447" s="24">
        <v>47093</v>
      </c>
      <c r="L447" s="1" t="s">
        <v>24</v>
      </c>
      <c r="M447" s="3" t="s">
        <v>18</v>
      </c>
      <c r="N447">
        <f>IF(AND( Table15[[#This Row],[Salary]] &gt;= 80000, OR(Table15[[#This Row],[Last_performance_rating]] = "C", Table15[[#This Row],[Last_performance_rating]] = "PIP")) =  TRUE, 1, 0)</f>
        <v>0</v>
      </c>
    </row>
    <row r="448" spans="1:14" x14ac:dyDescent="0.25">
      <c r="A448" s="2">
        <v>10267</v>
      </c>
      <c r="B448" s="22">
        <v>20470</v>
      </c>
      <c r="C448" s="1" t="s">
        <v>447</v>
      </c>
      <c r="D448" s="1" t="s">
        <v>1532</v>
      </c>
      <c r="E448" s="1" t="s">
        <v>13</v>
      </c>
      <c r="F448" s="22">
        <v>35410</v>
      </c>
      <c r="G448" s="1">
        <v>1</v>
      </c>
      <c r="H448" s="1" t="s">
        <v>35</v>
      </c>
      <c r="I448" s="1">
        <v>0</v>
      </c>
      <c r="J448" s="1"/>
      <c r="K448" s="24">
        <v>40000</v>
      </c>
      <c r="L448" s="1" t="s">
        <v>24</v>
      </c>
      <c r="M448" s="3" t="s">
        <v>55</v>
      </c>
      <c r="N448">
        <f>IF(AND( Table15[[#This Row],[Salary]] &gt;= 80000, OR(Table15[[#This Row],[Last_performance_rating]] = "C", Table15[[#This Row],[Last_performance_rating]] = "PIP")) =  TRUE, 1, 0)</f>
        <v>0</v>
      </c>
    </row>
    <row r="449" spans="1:14" x14ac:dyDescent="0.25">
      <c r="A449" s="2">
        <v>10966</v>
      </c>
      <c r="B449" s="22">
        <v>22831</v>
      </c>
      <c r="C449" s="1" t="s">
        <v>496</v>
      </c>
      <c r="D449" s="1" t="s">
        <v>1535</v>
      </c>
      <c r="E449" s="1" t="s">
        <v>13</v>
      </c>
      <c r="F449" s="22">
        <v>32819</v>
      </c>
      <c r="G449" s="1">
        <v>5</v>
      </c>
      <c r="H449" s="1" t="s">
        <v>35</v>
      </c>
      <c r="I449" s="1">
        <v>0</v>
      </c>
      <c r="J449" s="1"/>
      <c r="K449" s="24">
        <v>70464</v>
      </c>
      <c r="L449" s="1" t="s">
        <v>24</v>
      </c>
      <c r="M449" s="3" t="s">
        <v>41</v>
      </c>
      <c r="N449">
        <f>IF(AND( Table15[[#This Row],[Salary]] &gt;= 80000, OR(Table15[[#This Row],[Last_performance_rating]] = "C", Table15[[#This Row],[Last_performance_rating]] = "PIP")) =  TRUE, 1, 0)</f>
        <v>0</v>
      </c>
    </row>
    <row r="450" spans="1:14" x14ac:dyDescent="0.25">
      <c r="A450" s="2">
        <v>10966</v>
      </c>
      <c r="B450" s="22">
        <v>22831</v>
      </c>
      <c r="C450" s="1" t="s">
        <v>496</v>
      </c>
      <c r="D450" s="1" t="s">
        <v>1535</v>
      </c>
      <c r="E450" s="1" t="s">
        <v>13</v>
      </c>
      <c r="F450" s="22">
        <v>32819</v>
      </c>
      <c r="G450" s="1">
        <v>5</v>
      </c>
      <c r="H450" s="1" t="s">
        <v>35</v>
      </c>
      <c r="I450" s="1">
        <v>0</v>
      </c>
      <c r="J450" s="1"/>
      <c r="K450" s="24">
        <v>70464</v>
      </c>
      <c r="L450" s="1" t="s">
        <v>61</v>
      </c>
      <c r="M450" s="3" t="s">
        <v>41</v>
      </c>
      <c r="N450">
        <f>IF(AND( Table15[[#This Row],[Salary]] &gt;= 80000, OR(Table15[[#This Row],[Last_performance_rating]] = "C", Table15[[#This Row],[Last_performance_rating]] = "PIP")) =  TRUE, 1, 0)</f>
        <v>0</v>
      </c>
    </row>
    <row r="451" spans="1:14" x14ac:dyDescent="0.25">
      <c r="A451" s="2">
        <v>10268</v>
      </c>
      <c r="B451" s="22">
        <v>21339</v>
      </c>
      <c r="C451" s="1" t="s">
        <v>800</v>
      </c>
      <c r="D451" s="1" t="s">
        <v>1538</v>
      </c>
      <c r="E451" s="1" t="s">
        <v>13</v>
      </c>
      <c r="F451" s="22">
        <v>31763</v>
      </c>
      <c r="G451" s="1">
        <v>4</v>
      </c>
      <c r="H451" s="1" t="s">
        <v>35</v>
      </c>
      <c r="I451" s="1">
        <v>1</v>
      </c>
      <c r="J451" s="22">
        <v>35423</v>
      </c>
      <c r="K451" s="24">
        <v>41017</v>
      </c>
      <c r="L451" s="1" t="s">
        <v>24</v>
      </c>
      <c r="M451" s="3" t="s">
        <v>55</v>
      </c>
      <c r="N451">
        <f>IF(AND( Table15[[#This Row],[Salary]] &gt;= 80000, OR(Table15[[#This Row],[Last_performance_rating]] = "C", Table15[[#This Row],[Last_performance_rating]] = "PIP")) =  TRUE, 1, 0)</f>
        <v>0</v>
      </c>
    </row>
    <row r="452" spans="1:14" x14ac:dyDescent="0.25">
      <c r="A452" s="2">
        <v>10268</v>
      </c>
      <c r="B452" s="22">
        <v>21339</v>
      </c>
      <c r="C452" s="1" t="s">
        <v>800</v>
      </c>
      <c r="D452" s="1" t="s">
        <v>1538</v>
      </c>
      <c r="E452" s="1" t="s">
        <v>13</v>
      </c>
      <c r="F452" s="22">
        <v>31763</v>
      </c>
      <c r="G452" s="1">
        <v>4</v>
      </c>
      <c r="H452" s="1" t="s">
        <v>35</v>
      </c>
      <c r="I452" s="1">
        <v>1</v>
      </c>
      <c r="J452" s="22">
        <v>35423</v>
      </c>
      <c r="K452" s="24">
        <v>41017</v>
      </c>
      <c r="L452" s="1" t="s">
        <v>17</v>
      </c>
      <c r="M452" s="3" t="s">
        <v>55</v>
      </c>
      <c r="N452">
        <f>IF(AND( Table15[[#This Row],[Salary]] &gt;= 80000, OR(Table15[[#This Row],[Last_performance_rating]] = "C", Table15[[#This Row],[Last_performance_rating]] = "PIP")) =  TRUE, 1, 0)</f>
        <v>0</v>
      </c>
    </row>
    <row r="453" spans="1:14" x14ac:dyDescent="0.25">
      <c r="A453" s="2">
        <v>423740</v>
      </c>
      <c r="B453" s="22">
        <v>19955</v>
      </c>
      <c r="C453" s="1" t="s">
        <v>1542</v>
      </c>
      <c r="D453" s="1" t="s">
        <v>1543</v>
      </c>
      <c r="E453" s="1" t="s">
        <v>33</v>
      </c>
      <c r="F453" s="22">
        <v>32112</v>
      </c>
      <c r="G453" s="1">
        <v>3</v>
      </c>
      <c r="H453" s="1" t="s">
        <v>29</v>
      </c>
      <c r="I453" s="1">
        <v>0</v>
      </c>
      <c r="J453" s="1"/>
      <c r="K453" s="24">
        <v>46599</v>
      </c>
      <c r="L453" s="1" t="s">
        <v>17</v>
      </c>
      <c r="M453" s="3" t="s">
        <v>18</v>
      </c>
      <c r="N453">
        <f>IF(AND( Table15[[#This Row],[Salary]] &gt;= 80000, OR(Table15[[#This Row],[Last_performance_rating]] = "C", Table15[[#This Row],[Last_performance_rating]] = "PIP")) =  TRUE, 1, 0)</f>
        <v>0</v>
      </c>
    </row>
    <row r="454" spans="1:14" x14ac:dyDescent="0.25">
      <c r="A454" s="2">
        <v>10269</v>
      </c>
      <c r="B454" s="22">
        <v>21830</v>
      </c>
      <c r="C454" s="1" t="s">
        <v>1546</v>
      </c>
      <c r="D454" s="1" t="s">
        <v>1547</v>
      </c>
      <c r="E454" s="1" t="s">
        <v>33</v>
      </c>
      <c r="F454" s="22">
        <v>32348</v>
      </c>
      <c r="G454" s="1">
        <v>3</v>
      </c>
      <c r="H454" s="1" t="s">
        <v>29</v>
      </c>
      <c r="I454" s="1">
        <v>0</v>
      </c>
      <c r="J454" s="1"/>
      <c r="K454" s="24">
        <v>40000</v>
      </c>
      <c r="L454" s="1" t="s">
        <v>24</v>
      </c>
      <c r="M454" s="3" t="s">
        <v>18</v>
      </c>
      <c r="N454">
        <f>IF(AND( Table15[[#This Row],[Salary]] &gt;= 80000, OR(Table15[[#This Row],[Last_performance_rating]] = "C", Table15[[#This Row],[Last_performance_rating]] = "PIP")) =  TRUE, 1, 0)</f>
        <v>0</v>
      </c>
    </row>
    <row r="455" spans="1:14" x14ac:dyDescent="0.25">
      <c r="A455" s="2">
        <v>10270</v>
      </c>
      <c r="B455" s="22">
        <v>23041</v>
      </c>
      <c r="C455" s="1" t="s">
        <v>1550</v>
      </c>
      <c r="D455" s="1" t="s">
        <v>1551</v>
      </c>
      <c r="E455" s="1" t="s">
        <v>33</v>
      </c>
      <c r="F455" s="22">
        <v>32989</v>
      </c>
      <c r="G455" s="1">
        <v>2</v>
      </c>
      <c r="H455" s="1" t="s">
        <v>29</v>
      </c>
      <c r="I455" s="1">
        <v>0</v>
      </c>
      <c r="J455" s="1"/>
      <c r="K455" s="24">
        <v>42081</v>
      </c>
      <c r="L455" s="1" t="s">
        <v>40</v>
      </c>
      <c r="M455" s="3" t="s">
        <v>41</v>
      </c>
      <c r="N455">
        <f>IF(AND( Table15[[#This Row],[Salary]] &gt;= 80000, OR(Table15[[#This Row],[Last_performance_rating]] = "C", Table15[[#This Row],[Last_performance_rating]] = "PIP")) =  TRUE, 1, 0)</f>
        <v>0</v>
      </c>
    </row>
    <row r="456" spans="1:14" x14ac:dyDescent="0.25">
      <c r="A456" s="2">
        <v>468180</v>
      </c>
      <c r="B456" s="22">
        <v>21904</v>
      </c>
      <c r="C456" s="1" t="s">
        <v>1320</v>
      </c>
      <c r="D456" s="1" t="s">
        <v>1554</v>
      </c>
      <c r="E456" s="1" t="s">
        <v>13</v>
      </c>
      <c r="F456" s="22">
        <v>33786</v>
      </c>
      <c r="G456" s="1">
        <v>7</v>
      </c>
      <c r="H456" s="1" t="s">
        <v>35</v>
      </c>
      <c r="I456" s="1">
        <v>0</v>
      </c>
      <c r="J456" s="1"/>
      <c r="K456" s="24">
        <v>59348</v>
      </c>
      <c r="L456" s="1" t="s">
        <v>89</v>
      </c>
      <c r="M456" s="3" t="s">
        <v>41</v>
      </c>
      <c r="N456">
        <f>IF(AND( Table15[[#This Row],[Salary]] &gt;= 80000, OR(Table15[[#This Row],[Last_performance_rating]] = "C", Table15[[#This Row],[Last_performance_rating]] = "PIP")) =  TRUE, 1, 0)</f>
        <v>0</v>
      </c>
    </row>
    <row r="457" spans="1:14" x14ac:dyDescent="0.25">
      <c r="A457" s="2">
        <v>10271</v>
      </c>
      <c r="B457" s="22">
        <v>22760</v>
      </c>
      <c r="C457" s="1" t="s">
        <v>1557</v>
      </c>
      <c r="D457" s="1" t="s">
        <v>1558</v>
      </c>
      <c r="E457" s="1" t="s">
        <v>13</v>
      </c>
      <c r="F457" s="22">
        <v>31555</v>
      </c>
      <c r="G457" s="1">
        <v>6</v>
      </c>
      <c r="H457" s="1" t="s">
        <v>29</v>
      </c>
      <c r="I457" s="1">
        <v>0</v>
      </c>
      <c r="J457" s="1"/>
      <c r="K457" s="24">
        <v>53680</v>
      </c>
      <c r="L457" s="1" t="s">
        <v>17</v>
      </c>
      <c r="M457" s="3" t="s">
        <v>18</v>
      </c>
      <c r="N457">
        <f>IF(AND( Table15[[#This Row],[Salary]] &gt;= 80000, OR(Table15[[#This Row],[Last_performance_rating]] = "C", Table15[[#This Row],[Last_performance_rating]] = "PIP")) =  TRUE, 1, 0)</f>
        <v>0</v>
      </c>
    </row>
    <row r="458" spans="1:14" x14ac:dyDescent="0.25">
      <c r="A458" s="2">
        <v>10272</v>
      </c>
      <c r="B458" s="22">
        <v>20058</v>
      </c>
      <c r="C458" s="1" t="s">
        <v>1561</v>
      </c>
      <c r="D458" s="1" t="s">
        <v>1562</v>
      </c>
      <c r="E458" s="1" t="s">
        <v>13</v>
      </c>
      <c r="F458" s="22">
        <v>32286</v>
      </c>
      <c r="G458" s="1">
        <v>4</v>
      </c>
      <c r="H458" s="1" t="s">
        <v>29</v>
      </c>
      <c r="I458" s="1">
        <v>0</v>
      </c>
      <c r="J458" s="1"/>
      <c r="K458" s="24">
        <v>58070</v>
      </c>
      <c r="L458" s="1" t="s">
        <v>108</v>
      </c>
      <c r="M458" s="3" t="s">
        <v>41</v>
      </c>
      <c r="N458">
        <f>IF(AND( Table15[[#This Row],[Salary]] &gt;= 80000, OR(Table15[[#This Row],[Last_performance_rating]] = "C", Table15[[#This Row],[Last_performance_rating]] = "PIP")) =  TRUE, 1, 0)</f>
        <v>0</v>
      </c>
    </row>
    <row r="459" spans="1:14" x14ac:dyDescent="0.25">
      <c r="A459" s="2">
        <v>207996</v>
      </c>
      <c r="B459" s="22">
        <v>20584</v>
      </c>
      <c r="C459" s="1" t="s">
        <v>1565</v>
      </c>
      <c r="D459" s="1" t="s">
        <v>764</v>
      </c>
      <c r="E459" s="1" t="s">
        <v>33</v>
      </c>
      <c r="F459" s="22">
        <v>33387</v>
      </c>
      <c r="G459" s="1">
        <v>4</v>
      </c>
      <c r="H459" s="1" t="s">
        <v>15</v>
      </c>
      <c r="I459" s="1">
        <v>1</v>
      </c>
      <c r="J459" s="22">
        <v>35356</v>
      </c>
      <c r="K459" s="24">
        <v>63332</v>
      </c>
      <c r="L459" s="1" t="s">
        <v>108</v>
      </c>
      <c r="M459" s="3" t="s">
        <v>41</v>
      </c>
      <c r="N459">
        <f>IF(AND( Table15[[#This Row],[Salary]] &gt;= 80000, OR(Table15[[#This Row],[Last_performance_rating]] = "C", Table15[[#This Row],[Last_performance_rating]] = "PIP")) =  TRUE, 1, 0)</f>
        <v>0</v>
      </c>
    </row>
    <row r="460" spans="1:14" x14ac:dyDescent="0.25">
      <c r="A460" s="2">
        <v>10273</v>
      </c>
      <c r="B460" s="22">
        <v>22887</v>
      </c>
      <c r="C460" s="1" t="s">
        <v>1568</v>
      </c>
      <c r="D460" s="1" t="s">
        <v>1569</v>
      </c>
      <c r="E460" s="1" t="s">
        <v>13</v>
      </c>
      <c r="F460" s="22">
        <v>31357</v>
      </c>
      <c r="G460" s="1">
        <v>1</v>
      </c>
      <c r="H460" s="1" t="s">
        <v>35</v>
      </c>
      <c r="I460" s="1">
        <v>0</v>
      </c>
      <c r="J460" s="1"/>
      <c r="K460" s="24">
        <v>75148</v>
      </c>
      <c r="L460" s="1" t="s">
        <v>40</v>
      </c>
      <c r="M460" s="3" t="s">
        <v>41</v>
      </c>
      <c r="N460">
        <f>IF(AND( Table15[[#This Row],[Salary]] &gt;= 80000, OR(Table15[[#This Row],[Last_performance_rating]] = "C", Table15[[#This Row],[Last_performance_rating]] = "PIP")) =  TRUE, 1, 0)</f>
        <v>0</v>
      </c>
    </row>
    <row r="461" spans="1:14" x14ac:dyDescent="0.25">
      <c r="A461" s="2">
        <v>10274</v>
      </c>
      <c r="B461" s="22">
        <v>21055</v>
      </c>
      <c r="C461" s="1" t="s">
        <v>1572</v>
      </c>
      <c r="D461" s="1" t="s">
        <v>1573</v>
      </c>
      <c r="E461" s="1" t="s">
        <v>33</v>
      </c>
      <c r="F461" s="22">
        <v>33349</v>
      </c>
      <c r="G461" s="1">
        <v>7</v>
      </c>
      <c r="H461" s="1" t="s">
        <v>29</v>
      </c>
      <c r="I461" s="1">
        <v>0</v>
      </c>
      <c r="J461" s="1"/>
      <c r="K461" s="24">
        <v>86164</v>
      </c>
      <c r="L461" s="1" t="s">
        <v>17</v>
      </c>
      <c r="M461" s="3" t="s">
        <v>55</v>
      </c>
      <c r="N461">
        <f>IF(AND( Table15[[#This Row],[Salary]] &gt;= 80000, OR(Table15[[#This Row],[Last_performance_rating]] = "C", Table15[[#This Row],[Last_performance_rating]] = "PIP")) =  TRUE, 1, 0)</f>
        <v>0</v>
      </c>
    </row>
    <row r="462" spans="1:14" x14ac:dyDescent="0.25">
      <c r="A462" s="2">
        <v>286451</v>
      </c>
      <c r="B462" s="22">
        <v>21956</v>
      </c>
      <c r="C462" s="1" t="s">
        <v>135</v>
      </c>
      <c r="D462" s="1" t="s">
        <v>1576</v>
      </c>
      <c r="E462" s="1" t="s">
        <v>13</v>
      </c>
      <c r="F462" s="22">
        <v>31571</v>
      </c>
      <c r="G462" s="1">
        <v>3</v>
      </c>
      <c r="H462" s="1" t="s">
        <v>35</v>
      </c>
      <c r="I462" s="1">
        <v>0</v>
      </c>
      <c r="J462" s="1"/>
      <c r="K462" s="24">
        <v>40000</v>
      </c>
      <c r="L462" s="1" t="s">
        <v>24</v>
      </c>
      <c r="M462" s="3" t="s">
        <v>18</v>
      </c>
      <c r="N462">
        <f>IF(AND( Table15[[#This Row],[Salary]] &gt;= 80000, OR(Table15[[#This Row],[Last_performance_rating]] = "C", Table15[[#This Row],[Last_performance_rating]] = "PIP")) =  TRUE, 1, 0)</f>
        <v>0</v>
      </c>
    </row>
    <row r="463" spans="1:14" x14ac:dyDescent="0.25">
      <c r="A463" s="2">
        <v>10275</v>
      </c>
      <c r="B463" s="22">
        <v>22576</v>
      </c>
      <c r="C463" s="1" t="s">
        <v>1578</v>
      </c>
      <c r="D463" s="1" t="s">
        <v>1579</v>
      </c>
      <c r="E463" s="1" t="s">
        <v>33</v>
      </c>
      <c r="F463" s="22">
        <v>32028</v>
      </c>
      <c r="G463" s="1">
        <v>5</v>
      </c>
      <c r="H463" s="1" t="s">
        <v>370</v>
      </c>
      <c r="I463" s="1">
        <v>1</v>
      </c>
      <c r="J463" s="22">
        <v>36685</v>
      </c>
      <c r="K463" s="24">
        <v>40000</v>
      </c>
      <c r="L463" s="1" t="s">
        <v>17</v>
      </c>
      <c r="M463" s="3" t="s">
        <v>18</v>
      </c>
      <c r="N463">
        <f>IF(AND( Table15[[#This Row],[Salary]] &gt;= 80000, OR(Table15[[#This Row],[Last_performance_rating]] = "C", Table15[[#This Row],[Last_performance_rating]] = "PIP")) =  TRUE, 1, 0)</f>
        <v>0</v>
      </c>
    </row>
    <row r="464" spans="1:14" x14ac:dyDescent="0.25">
      <c r="A464" s="2">
        <v>10276</v>
      </c>
      <c r="B464" s="22">
        <v>23585</v>
      </c>
      <c r="C464" s="1" t="s">
        <v>1194</v>
      </c>
      <c r="D464" s="1" t="s">
        <v>1583</v>
      </c>
      <c r="E464" s="1" t="s">
        <v>13</v>
      </c>
      <c r="F464" s="22">
        <v>31249</v>
      </c>
      <c r="G464" s="1">
        <v>7</v>
      </c>
      <c r="H464" s="1" t="s">
        <v>138</v>
      </c>
      <c r="I464" s="1">
        <v>0</v>
      </c>
      <c r="J464" s="1"/>
      <c r="K464" s="24">
        <v>40000</v>
      </c>
      <c r="L464" s="1" t="s">
        <v>17</v>
      </c>
      <c r="M464" s="3" t="s">
        <v>18</v>
      </c>
      <c r="N464">
        <f>IF(AND( Table15[[#This Row],[Salary]] &gt;= 80000, OR(Table15[[#This Row],[Last_performance_rating]] = "C", Table15[[#This Row],[Last_performance_rating]] = "PIP")) =  TRUE, 1, 0)</f>
        <v>0</v>
      </c>
    </row>
    <row r="465" spans="1:14" x14ac:dyDescent="0.25">
      <c r="A465" s="2">
        <v>30871</v>
      </c>
      <c r="B465" s="22">
        <v>21719</v>
      </c>
      <c r="C465" s="1" t="s">
        <v>1586</v>
      </c>
      <c r="D465" s="1" t="s">
        <v>1587</v>
      </c>
      <c r="E465" s="1" t="s">
        <v>13</v>
      </c>
      <c r="F465" s="22">
        <v>31838</v>
      </c>
      <c r="G465" s="1">
        <v>1</v>
      </c>
      <c r="H465" s="1" t="s">
        <v>29</v>
      </c>
      <c r="I465" s="1">
        <v>0</v>
      </c>
      <c r="J465" s="1"/>
      <c r="K465" s="24">
        <v>40000</v>
      </c>
      <c r="L465" s="1" t="s">
        <v>24</v>
      </c>
      <c r="M465" s="3" t="s">
        <v>156</v>
      </c>
      <c r="N465">
        <f>IF(AND( Table15[[#This Row],[Salary]] &gt;= 80000, OR(Table15[[#This Row],[Last_performance_rating]] = "C", Table15[[#This Row],[Last_performance_rating]] = "PIP")) =  TRUE, 1, 0)</f>
        <v>0</v>
      </c>
    </row>
    <row r="466" spans="1:14" x14ac:dyDescent="0.25">
      <c r="A466" s="2">
        <v>10277</v>
      </c>
      <c r="B466" s="22">
        <v>23604</v>
      </c>
      <c r="C466" s="1" t="s">
        <v>1590</v>
      </c>
      <c r="D466" s="1" t="s">
        <v>1591</v>
      </c>
      <c r="E466" s="1" t="s">
        <v>13</v>
      </c>
      <c r="F466" s="22">
        <v>31214</v>
      </c>
      <c r="G466" s="1">
        <v>5</v>
      </c>
      <c r="H466" s="1" t="s">
        <v>29</v>
      </c>
      <c r="I466" s="1">
        <v>0</v>
      </c>
      <c r="J466" s="1"/>
      <c r="K466" s="24">
        <v>59534</v>
      </c>
      <c r="L466" s="1" t="s">
        <v>40</v>
      </c>
      <c r="M466" s="3" t="s">
        <v>41</v>
      </c>
      <c r="N466">
        <f>IF(AND( Table15[[#This Row],[Salary]] &gt;= 80000, OR(Table15[[#This Row],[Last_performance_rating]] = "C", Table15[[#This Row],[Last_performance_rating]] = "PIP")) =  TRUE, 1, 0)</f>
        <v>0</v>
      </c>
    </row>
    <row r="467" spans="1:14" x14ac:dyDescent="0.25">
      <c r="A467" s="2">
        <v>10278</v>
      </c>
      <c r="B467" s="22">
        <v>20157</v>
      </c>
      <c r="C467" s="1" t="s">
        <v>1594</v>
      </c>
      <c r="D467" s="1" t="s">
        <v>341</v>
      </c>
      <c r="E467" s="1" t="s">
        <v>13</v>
      </c>
      <c r="F467" s="22">
        <v>33375</v>
      </c>
      <c r="G467" s="1">
        <v>9</v>
      </c>
      <c r="H467" s="1" t="s">
        <v>35</v>
      </c>
      <c r="I467" s="1">
        <v>0</v>
      </c>
      <c r="J467" s="1"/>
      <c r="K467" s="24">
        <v>51703</v>
      </c>
      <c r="L467" s="1" t="s">
        <v>17</v>
      </c>
      <c r="M467" s="3" t="s">
        <v>55</v>
      </c>
      <c r="N467">
        <f>IF(AND( Table15[[#This Row],[Salary]] &gt;= 80000, OR(Table15[[#This Row],[Last_performance_rating]] = "C", Table15[[#This Row],[Last_performance_rating]] = "PIP")) =  TRUE, 1, 0)</f>
        <v>0</v>
      </c>
    </row>
    <row r="468" spans="1:14" x14ac:dyDescent="0.25">
      <c r="A468" s="2">
        <v>260621</v>
      </c>
      <c r="B468" s="22">
        <v>19481</v>
      </c>
      <c r="C468" s="1" t="s">
        <v>1597</v>
      </c>
      <c r="D468" s="1" t="s">
        <v>1598</v>
      </c>
      <c r="E468" s="1" t="s">
        <v>13</v>
      </c>
      <c r="F468" s="22">
        <v>33281</v>
      </c>
      <c r="G468" s="1">
        <v>7</v>
      </c>
      <c r="H468" s="1" t="s">
        <v>138</v>
      </c>
      <c r="I468" s="1">
        <v>0</v>
      </c>
      <c r="J468" s="1"/>
      <c r="K468" s="24">
        <v>54758</v>
      </c>
      <c r="L468" s="1" t="s">
        <v>24</v>
      </c>
      <c r="M468" s="3" t="s">
        <v>18</v>
      </c>
      <c r="N468">
        <f>IF(AND( Table15[[#This Row],[Salary]] &gt;= 80000, OR(Table15[[#This Row],[Last_performance_rating]] = "C", Table15[[#This Row],[Last_performance_rating]] = "PIP")) =  TRUE, 1, 0)</f>
        <v>0</v>
      </c>
    </row>
    <row r="469" spans="1:14" x14ac:dyDescent="0.25">
      <c r="A469" s="2">
        <v>10279</v>
      </c>
      <c r="B469" s="22">
        <v>23609</v>
      </c>
      <c r="C469" s="1" t="s">
        <v>1601</v>
      </c>
      <c r="D469" s="1" t="s">
        <v>1602</v>
      </c>
      <c r="E469" s="1" t="s">
        <v>33</v>
      </c>
      <c r="F469" s="22">
        <v>34688</v>
      </c>
      <c r="G469" s="1">
        <v>10</v>
      </c>
      <c r="H469" s="1" t="s">
        <v>138</v>
      </c>
      <c r="I469" s="1">
        <v>0</v>
      </c>
      <c r="J469" s="1"/>
      <c r="K469" s="24">
        <v>40000</v>
      </c>
      <c r="L469" s="1" t="s">
        <v>24</v>
      </c>
      <c r="M469" s="3" t="s">
        <v>55</v>
      </c>
      <c r="N469">
        <f>IF(AND( Table15[[#This Row],[Salary]] &gt;= 80000, OR(Table15[[#This Row],[Last_performance_rating]] = "C", Table15[[#This Row],[Last_performance_rating]] = "PIP")) =  TRUE, 1, 0)</f>
        <v>0</v>
      </c>
    </row>
    <row r="470" spans="1:14" x14ac:dyDescent="0.25">
      <c r="A470" s="2">
        <v>10279</v>
      </c>
      <c r="B470" s="22">
        <v>23609</v>
      </c>
      <c r="C470" s="1" t="s">
        <v>1601</v>
      </c>
      <c r="D470" s="1" t="s">
        <v>1602</v>
      </c>
      <c r="E470" s="1" t="s">
        <v>33</v>
      </c>
      <c r="F470" s="22">
        <v>34688</v>
      </c>
      <c r="G470" s="1">
        <v>10</v>
      </c>
      <c r="H470" s="1" t="s">
        <v>138</v>
      </c>
      <c r="I470" s="1">
        <v>0</v>
      </c>
      <c r="J470" s="1"/>
      <c r="K470" s="24">
        <v>40000</v>
      </c>
      <c r="L470" s="1" t="s">
        <v>89</v>
      </c>
      <c r="M470" s="3" t="s">
        <v>55</v>
      </c>
      <c r="N470">
        <f>IF(AND( Table15[[#This Row],[Salary]] &gt;= 80000, OR(Table15[[#This Row],[Last_performance_rating]] = "C", Table15[[#This Row],[Last_performance_rating]] = "PIP")) =  TRUE, 1, 0)</f>
        <v>0</v>
      </c>
    </row>
    <row r="471" spans="1:14" x14ac:dyDescent="0.25">
      <c r="A471" s="2">
        <v>24103</v>
      </c>
      <c r="B471" s="22">
        <v>19875</v>
      </c>
      <c r="C471" s="1" t="s">
        <v>575</v>
      </c>
      <c r="D471" s="1" t="s">
        <v>1605</v>
      </c>
      <c r="E471" s="1" t="s">
        <v>13</v>
      </c>
      <c r="F471" s="22">
        <v>31133</v>
      </c>
      <c r="G471" s="1">
        <v>4</v>
      </c>
      <c r="H471" s="1" t="s">
        <v>29</v>
      </c>
      <c r="I471" s="1">
        <v>0</v>
      </c>
      <c r="J471" s="1"/>
      <c r="K471" s="24">
        <v>40000</v>
      </c>
      <c r="L471" s="1" t="s">
        <v>89</v>
      </c>
      <c r="M471" s="3" t="s">
        <v>41</v>
      </c>
      <c r="N471">
        <f>IF(AND( Table15[[#This Row],[Salary]] &gt;= 80000, OR(Table15[[#This Row],[Last_performance_rating]] = "C", Table15[[#This Row],[Last_performance_rating]] = "PIP")) =  TRUE, 1, 0)</f>
        <v>0</v>
      </c>
    </row>
    <row r="472" spans="1:14" x14ac:dyDescent="0.25">
      <c r="A472" s="2">
        <v>10280</v>
      </c>
      <c r="B472" s="22">
        <v>23679</v>
      </c>
      <c r="C472" s="1" t="s">
        <v>1043</v>
      </c>
      <c r="D472" s="1" t="s">
        <v>1608</v>
      </c>
      <c r="E472" s="1" t="s">
        <v>13</v>
      </c>
      <c r="F472" s="22">
        <v>32220</v>
      </c>
      <c r="G472" s="1">
        <v>2</v>
      </c>
      <c r="H472" s="1" t="s">
        <v>29</v>
      </c>
      <c r="I472" s="1">
        <v>0</v>
      </c>
      <c r="J472" s="1"/>
      <c r="K472" s="24">
        <v>66695</v>
      </c>
      <c r="L472" s="1" t="s">
        <v>46</v>
      </c>
      <c r="M472" s="3" t="s">
        <v>41</v>
      </c>
      <c r="N472">
        <f>IF(AND( Table15[[#This Row],[Salary]] &gt;= 80000, OR(Table15[[#This Row],[Last_performance_rating]] = "C", Table15[[#This Row],[Last_performance_rating]] = "PIP")) =  TRUE, 1, 0)</f>
        <v>0</v>
      </c>
    </row>
    <row r="473" spans="1:14" x14ac:dyDescent="0.25">
      <c r="A473" s="2">
        <v>10281</v>
      </c>
      <c r="B473" s="22">
        <v>19492</v>
      </c>
      <c r="C473" s="1" t="s">
        <v>1611</v>
      </c>
      <c r="D473" s="1" t="s">
        <v>1612</v>
      </c>
      <c r="E473" s="1" t="s">
        <v>13</v>
      </c>
      <c r="F473" s="22">
        <v>34671</v>
      </c>
      <c r="G473" s="1">
        <v>8</v>
      </c>
      <c r="H473" s="1" t="s">
        <v>35</v>
      </c>
      <c r="I473" s="1">
        <v>0</v>
      </c>
      <c r="J473" s="1"/>
      <c r="K473" s="24">
        <v>46123</v>
      </c>
      <c r="L473" s="1" t="s">
        <v>71</v>
      </c>
      <c r="M473" s="3" t="s">
        <v>18</v>
      </c>
      <c r="N473">
        <f>IF(AND( Table15[[#This Row],[Salary]] &gt;= 80000, OR(Table15[[#This Row],[Last_performance_rating]] = "C", Table15[[#This Row],[Last_performance_rating]] = "PIP")) =  TRUE, 1, 0)</f>
        <v>0</v>
      </c>
    </row>
    <row r="474" spans="1:14" x14ac:dyDescent="0.25">
      <c r="A474" s="2">
        <v>78524</v>
      </c>
      <c r="B474" s="22">
        <v>19852</v>
      </c>
      <c r="C474" s="1" t="s">
        <v>1615</v>
      </c>
      <c r="D474" s="1" t="s">
        <v>1616</v>
      </c>
      <c r="E474" s="1" t="s">
        <v>33</v>
      </c>
      <c r="F474" s="22">
        <v>32366</v>
      </c>
      <c r="G474" s="1">
        <v>5</v>
      </c>
      <c r="H474" s="1" t="s">
        <v>35</v>
      </c>
      <c r="I474" s="1">
        <v>1</v>
      </c>
      <c r="J474" s="22">
        <v>36721</v>
      </c>
      <c r="K474" s="24">
        <v>63123</v>
      </c>
      <c r="L474" s="1" t="s">
        <v>40</v>
      </c>
      <c r="M474" s="3" t="s">
        <v>41</v>
      </c>
      <c r="N474">
        <f>IF(AND( Table15[[#This Row],[Salary]] &gt;= 80000, OR(Table15[[#This Row],[Last_performance_rating]] = "C", Table15[[#This Row],[Last_performance_rating]] = "PIP")) =  TRUE, 1, 0)</f>
        <v>0</v>
      </c>
    </row>
    <row r="475" spans="1:14" x14ac:dyDescent="0.25">
      <c r="A475" s="2">
        <v>10282</v>
      </c>
      <c r="B475" s="22">
        <v>19690</v>
      </c>
      <c r="C475" s="1" t="s">
        <v>1620</v>
      </c>
      <c r="D475" s="1" t="s">
        <v>1621</v>
      </c>
      <c r="E475" s="1" t="s">
        <v>13</v>
      </c>
      <c r="F475" s="22">
        <v>31567</v>
      </c>
      <c r="G475" s="1">
        <v>8</v>
      </c>
      <c r="H475" s="1" t="s">
        <v>29</v>
      </c>
      <c r="I475" s="1">
        <v>0</v>
      </c>
      <c r="J475" s="1"/>
      <c r="K475" s="24">
        <v>40000</v>
      </c>
      <c r="L475" s="1" t="s">
        <v>24</v>
      </c>
      <c r="M475" s="3" t="s">
        <v>55</v>
      </c>
      <c r="N475">
        <f>IF(AND( Table15[[#This Row],[Salary]] &gt;= 80000, OR(Table15[[#This Row],[Last_performance_rating]] = "C", Table15[[#This Row],[Last_performance_rating]] = "PIP")) =  TRUE, 1, 0)</f>
        <v>0</v>
      </c>
    </row>
    <row r="476" spans="1:14" x14ac:dyDescent="0.25">
      <c r="A476" s="2">
        <v>10283</v>
      </c>
      <c r="B476" s="22">
        <v>19548</v>
      </c>
      <c r="C476" s="1" t="s">
        <v>881</v>
      </c>
      <c r="D476" s="1" t="s">
        <v>1624</v>
      </c>
      <c r="E476" s="1" t="s">
        <v>13</v>
      </c>
      <c r="F476" s="22">
        <v>32288</v>
      </c>
      <c r="G476" s="1">
        <v>2</v>
      </c>
      <c r="H476" s="1" t="s">
        <v>15</v>
      </c>
      <c r="I476" s="1">
        <v>1</v>
      </c>
      <c r="J476" s="22">
        <v>34196</v>
      </c>
      <c r="K476" s="24">
        <v>40000</v>
      </c>
      <c r="L476" s="1" t="s">
        <v>17</v>
      </c>
      <c r="M476" s="3" t="s">
        <v>18</v>
      </c>
      <c r="N476">
        <f>IF(AND( Table15[[#This Row],[Salary]] &gt;= 80000, OR(Table15[[#This Row],[Last_performance_rating]] = "C", Table15[[#This Row],[Last_performance_rating]] = "PIP")) =  TRUE, 1, 0)</f>
        <v>0</v>
      </c>
    </row>
    <row r="477" spans="1:14" x14ac:dyDescent="0.25">
      <c r="A477" s="2">
        <v>10284</v>
      </c>
      <c r="B477" s="22">
        <v>19822</v>
      </c>
      <c r="C477" s="1" t="s">
        <v>401</v>
      </c>
      <c r="D477" s="1" t="s">
        <v>1628</v>
      </c>
      <c r="E477" s="1" t="s">
        <v>33</v>
      </c>
      <c r="F477" s="22">
        <v>35613</v>
      </c>
      <c r="G477" s="1">
        <v>6</v>
      </c>
      <c r="H477" s="1" t="s">
        <v>15</v>
      </c>
      <c r="I477" s="1">
        <v>0</v>
      </c>
      <c r="J477" s="1"/>
      <c r="K477" s="24">
        <v>40000</v>
      </c>
      <c r="L477" s="1" t="s">
        <v>24</v>
      </c>
      <c r="M477" s="3" t="s">
        <v>55</v>
      </c>
      <c r="N477">
        <f>IF(AND( Table15[[#This Row],[Salary]] &gt;= 80000, OR(Table15[[#This Row],[Last_performance_rating]] = "C", Table15[[#This Row],[Last_performance_rating]] = "PIP")) =  TRUE, 1, 0)</f>
        <v>0</v>
      </c>
    </row>
    <row r="478" spans="1:14" x14ac:dyDescent="0.25">
      <c r="A478" s="2">
        <v>10285</v>
      </c>
      <c r="B478" s="22">
        <v>20719</v>
      </c>
      <c r="C478" s="1" t="s">
        <v>599</v>
      </c>
      <c r="D478" s="1" t="s">
        <v>32</v>
      </c>
      <c r="E478" s="1" t="s">
        <v>33</v>
      </c>
      <c r="F478" s="22">
        <v>34757</v>
      </c>
      <c r="G478" s="1">
        <v>5</v>
      </c>
      <c r="H478" s="1" t="s">
        <v>29</v>
      </c>
      <c r="I478" s="1">
        <v>0</v>
      </c>
      <c r="J478" s="1"/>
      <c r="K478" s="24">
        <v>62075</v>
      </c>
      <c r="L478" s="1" t="s">
        <v>61</v>
      </c>
      <c r="M478" s="3" t="s">
        <v>41</v>
      </c>
      <c r="N478">
        <f>IF(AND( Table15[[#This Row],[Salary]] &gt;= 80000, OR(Table15[[#This Row],[Last_performance_rating]] = "C", Table15[[#This Row],[Last_performance_rating]] = "PIP")) =  TRUE, 1, 0)</f>
        <v>0</v>
      </c>
    </row>
    <row r="479" spans="1:14" x14ac:dyDescent="0.25">
      <c r="A479" s="2">
        <v>239616</v>
      </c>
      <c r="B479" s="22">
        <v>20129</v>
      </c>
      <c r="C479" s="1" t="s">
        <v>886</v>
      </c>
      <c r="D479" s="1" t="s">
        <v>1633</v>
      </c>
      <c r="E479" s="1" t="s">
        <v>13</v>
      </c>
      <c r="F479" s="22">
        <v>32962</v>
      </c>
      <c r="G479" s="1">
        <v>9</v>
      </c>
      <c r="H479" s="1" t="s">
        <v>29</v>
      </c>
      <c r="I479" s="1">
        <v>0</v>
      </c>
      <c r="J479" s="1"/>
      <c r="K479" s="24">
        <v>48836</v>
      </c>
      <c r="L479" s="1" t="s">
        <v>24</v>
      </c>
      <c r="M479" s="3" t="s">
        <v>156</v>
      </c>
      <c r="N479">
        <f>IF(AND( Table15[[#This Row],[Salary]] &gt;= 80000, OR(Table15[[#This Row],[Last_performance_rating]] = "C", Table15[[#This Row],[Last_performance_rating]] = "PIP")) =  TRUE, 1, 0)</f>
        <v>0</v>
      </c>
    </row>
    <row r="480" spans="1:14" x14ac:dyDescent="0.25">
      <c r="A480" s="2">
        <v>239616</v>
      </c>
      <c r="B480" s="22">
        <v>20129</v>
      </c>
      <c r="C480" s="1" t="s">
        <v>886</v>
      </c>
      <c r="D480" s="1" t="s">
        <v>1633</v>
      </c>
      <c r="E480" s="1" t="s">
        <v>13</v>
      </c>
      <c r="F480" s="22">
        <v>32962</v>
      </c>
      <c r="G480" s="1">
        <v>9</v>
      </c>
      <c r="H480" s="1" t="s">
        <v>29</v>
      </c>
      <c r="I480" s="1">
        <v>0</v>
      </c>
      <c r="J480" s="1"/>
      <c r="K480" s="24">
        <v>48836</v>
      </c>
      <c r="L480" s="1" t="s">
        <v>17</v>
      </c>
      <c r="M480" s="3" t="s">
        <v>156</v>
      </c>
      <c r="N480">
        <f>IF(AND( Table15[[#This Row],[Salary]] &gt;= 80000, OR(Table15[[#This Row],[Last_performance_rating]] = "C", Table15[[#This Row],[Last_performance_rating]] = "PIP")) =  TRUE, 1, 0)</f>
        <v>0</v>
      </c>
    </row>
    <row r="481" spans="1:14" x14ac:dyDescent="0.25">
      <c r="A481" s="2">
        <v>10286</v>
      </c>
      <c r="B481" s="22">
        <v>19128</v>
      </c>
      <c r="C481" s="1" t="s">
        <v>1636</v>
      </c>
      <c r="D481" s="1" t="s">
        <v>1637</v>
      </c>
      <c r="E481" s="1" t="s">
        <v>33</v>
      </c>
      <c r="F481" s="22">
        <v>32223</v>
      </c>
      <c r="G481" s="1">
        <v>10</v>
      </c>
      <c r="H481" s="1" t="s">
        <v>29</v>
      </c>
      <c r="I481" s="1">
        <v>1</v>
      </c>
      <c r="J481" s="22">
        <v>34406</v>
      </c>
      <c r="K481" s="24">
        <v>40000</v>
      </c>
      <c r="L481" s="1" t="s">
        <v>89</v>
      </c>
      <c r="M481" s="3" t="s">
        <v>41</v>
      </c>
      <c r="N481">
        <f>IF(AND( Table15[[#This Row],[Salary]] &gt;= 80000, OR(Table15[[#This Row],[Last_performance_rating]] = "C", Table15[[#This Row],[Last_performance_rating]] = "PIP")) =  TRUE, 1, 0)</f>
        <v>0</v>
      </c>
    </row>
    <row r="482" spans="1:14" x14ac:dyDescent="0.25">
      <c r="A482" s="2">
        <v>10287</v>
      </c>
      <c r="B482" s="22">
        <v>23343</v>
      </c>
      <c r="C482" s="1" t="s">
        <v>1438</v>
      </c>
      <c r="D482" s="1" t="s">
        <v>829</v>
      </c>
      <c r="E482" s="1" t="s">
        <v>13</v>
      </c>
      <c r="F482" s="22">
        <v>33966</v>
      </c>
      <c r="G482" s="1">
        <v>6</v>
      </c>
      <c r="H482" s="1" t="s">
        <v>35</v>
      </c>
      <c r="I482" s="1">
        <v>0</v>
      </c>
      <c r="J482" s="1"/>
      <c r="K482" s="24">
        <v>55732</v>
      </c>
      <c r="L482" s="1" t="s">
        <v>17</v>
      </c>
      <c r="M482" s="3" t="s">
        <v>41</v>
      </c>
      <c r="N482">
        <f>IF(AND( Table15[[#This Row],[Salary]] &gt;= 80000, OR(Table15[[#This Row],[Last_performance_rating]] = "C", Table15[[#This Row],[Last_performance_rating]] = "PIP")) =  TRUE, 1, 0)</f>
        <v>0</v>
      </c>
    </row>
    <row r="483" spans="1:14" x14ac:dyDescent="0.25">
      <c r="A483" s="2">
        <v>10287</v>
      </c>
      <c r="B483" s="22">
        <v>23343</v>
      </c>
      <c r="C483" s="1" t="s">
        <v>1438</v>
      </c>
      <c r="D483" s="1" t="s">
        <v>829</v>
      </c>
      <c r="E483" s="1" t="s">
        <v>13</v>
      </c>
      <c r="F483" s="22">
        <v>33966</v>
      </c>
      <c r="G483" s="1">
        <v>6</v>
      </c>
      <c r="H483" s="1" t="s">
        <v>35</v>
      </c>
      <c r="I483" s="1">
        <v>0</v>
      </c>
      <c r="J483" s="1"/>
      <c r="K483" s="24">
        <v>55732</v>
      </c>
      <c r="L483" s="1" t="s">
        <v>61</v>
      </c>
      <c r="M483" s="3" t="s">
        <v>41</v>
      </c>
      <c r="N483">
        <f>IF(AND( Table15[[#This Row],[Salary]] &gt;= 80000, OR(Table15[[#This Row],[Last_performance_rating]] = "C", Table15[[#This Row],[Last_performance_rating]] = "PIP")) =  TRUE, 1, 0)</f>
        <v>0</v>
      </c>
    </row>
    <row r="484" spans="1:14" x14ac:dyDescent="0.25">
      <c r="A484" s="2">
        <v>469619</v>
      </c>
      <c r="B484" s="22">
        <v>20349</v>
      </c>
      <c r="C484" s="1" t="s">
        <v>1642</v>
      </c>
      <c r="D484" s="1" t="s">
        <v>1643</v>
      </c>
      <c r="E484" s="1" t="s">
        <v>13</v>
      </c>
      <c r="F484" s="22">
        <v>32843</v>
      </c>
      <c r="G484" s="1">
        <v>8</v>
      </c>
      <c r="H484" s="1" t="s">
        <v>15</v>
      </c>
      <c r="I484" s="1">
        <v>0</v>
      </c>
      <c r="J484" s="1"/>
      <c r="K484" s="24">
        <v>47456</v>
      </c>
      <c r="L484" s="1" t="s">
        <v>24</v>
      </c>
      <c r="M484" s="3" t="s">
        <v>18</v>
      </c>
      <c r="N484">
        <f>IF(AND( Table15[[#This Row],[Salary]] &gt;= 80000, OR(Table15[[#This Row],[Last_performance_rating]] = "C", Table15[[#This Row],[Last_performance_rating]] = "PIP")) =  TRUE, 1, 0)</f>
        <v>0</v>
      </c>
    </row>
    <row r="485" spans="1:14" x14ac:dyDescent="0.25">
      <c r="A485" s="2">
        <v>10288</v>
      </c>
      <c r="B485" s="22">
        <v>21703</v>
      </c>
      <c r="C485" s="1" t="s">
        <v>1646</v>
      </c>
      <c r="D485" s="1" t="s">
        <v>1647</v>
      </c>
      <c r="E485" s="1" t="s">
        <v>13</v>
      </c>
      <c r="F485" s="22">
        <v>34575</v>
      </c>
      <c r="G485" s="1">
        <v>8</v>
      </c>
      <c r="H485" s="1" t="s">
        <v>15</v>
      </c>
      <c r="I485" s="1">
        <v>0</v>
      </c>
      <c r="J485" s="1"/>
      <c r="K485" s="24">
        <v>80474</v>
      </c>
      <c r="L485" s="1" t="s">
        <v>24</v>
      </c>
      <c r="M485" s="3" t="s">
        <v>156</v>
      </c>
      <c r="N485">
        <f>IF(AND( Table15[[#This Row],[Salary]] &gt;= 80000, OR(Table15[[#This Row],[Last_performance_rating]] = "C", Table15[[#This Row],[Last_performance_rating]] = "PIP")) =  TRUE, 1, 0)</f>
        <v>1</v>
      </c>
    </row>
    <row r="486" spans="1:14" x14ac:dyDescent="0.25">
      <c r="A486" s="2">
        <v>36372</v>
      </c>
      <c r="B486" s="22">
        <v>19564</v>
      </c>
      <c r="C486" s="1" t="s">
        <v>1650</v>
      </c>
      <c r="D486" s="1" t="s">
        <v>1651</v>
      </c>
      <c r="E486" s="1" t="s">
        <v>33</v>
      </c>
      <c r="F486" s="22">
        <v>33784</v>
      </c>
      <c r="G486" s="1">
        <v>4</v>
      </c>
      <c r="H486" s="1" t="s">
        <v>138</v>
      </c>
      <c r="I486" s="1">
        <v>0</v>
      </c>
      <c r="J486" s="1"/>
      <c r="K486" s="24">
        <v>74338</v>
      </c>
      <c r="L486" s="1" t="s">
        <v>40</v>
      </c>
      <c r="M486" s="3" t="s">
        <v>102</v>
      </c>
      <c r="N486">
        <f>IF(AND( Table15[[#This Row],[Salary]] &gt;= 80000, OR(Table15[[#This Row],[Last_performance_rating]] = "C", Table15[[#This Row],[Last_performance_rating]] = "PIP")) =  TRUE, 1, 0)</f>
        <v>0</v>
      </c>
    </row>
    <row r="487" spans="1:14" x14ac:dyDescent="0.25">
      <c r="A487" s="2">
        <v>10289</v>
      </c>
      <c r="B487" s="22">
        <v>20789</v>
      </c>
      <c r="C487" s="1" t="s">
        <v>1654</v>
      </c>
      <c r="D487" s="1" t="s">
        <v>1655</v>
      </c>
      <c r="E487" s="1" t="s">
        <v>13</v>
      </c>
      <c r="F487" s="22">
        <v>33030</v>
      </c>
      <c r="G487" s="1">
        <v>6</v>
      </c>
      <c r="H487" s="1" t="s">
        <v>29</v>
      </c>
      <c r="I487" s="1">
        <v>0</v>
      </c>
      <c r="J487" s="1"/>
      <c r="K487" s="24">
        <v>40000</v>
      </c>
      <c r="L487" s="1" t="s">
        <v>17</v>
      </c>
      <c r="M487" s="3" t="s">
        <v>156</v>
      </c>
      <c r="N487">
        <f>IF(AND( Table15[[#This Row],[Salary]] &gt;= 80000, OR(Table15[[#This Row],[Last_performance_rating]] = "C", Table15[[#This Row],[Last_performance_rating]] = "PIP")) =  TRUE, 1, 0)</f>
        <v>0</v>
      </c>
    </row>
    <row r="488" spans="1:14" x14ac:dyDescent="0.25">
      <c r="A488" s="2">
        <v>10290</v>
      </c>
      <c r="B488" s="22">
        <v>20969</v>
      </c>
      <c r="C488" s="1" t="s">
        <v>1658</v>
      </c>
      <c r="D488" s="1" t="s">
        <v>1659</v>
      </c>
      <c r="E488" s="1" t="s">
        <v>13</v>
      </c>
      <c r="F488" s="22">
        <v>33499</v>
      </c>
      <c r="G488" s="1">
        <v>5</v>
      </c>
      <c r="H488" s="1" t="s">
        <v>138</v>
      </c>
      <c r="I488" s="1">
        <v>0</v>
      </c>
      <c r="J488" s="1"/>
      <c r="K488" s="24">
        <v>44274</v>
      </c>
      <c r="L488" s="1" t="s">
        <v>17</v>
      </c>
      <c r="M488" s="3" t="s">
        <v>18</v>
      </c>
      <c r="N488">
        <f>IF(AND( Table15[[#This Row],[Salary]] &gt;= 80000, OR(Table15[[#This Row],[Last_performance_rating]] = "C", Table15[[#This Row],[Last_performance_rating]] = "PIP")) =  TRUE, 1, 0)</f>
        <v>0</v>
      </c>
    </row>
    <row r="489" spans="1:14" x14ac:dyDescent="0.25">
      <c r="A489" s="2">
        <v>260402</v>
      </c>
      <c r="B489" s="22">
        <v>20674</v>
      </c>
      <c r="C489" s="1" t="s">
        <v>1662</v>
      </c>
      <c r="D489" s="1" t="s">
        <v>1214</v>
      </c>
      <c r="E489" s="1" t="s">
        <v>13</v>
      </c>
      <c r="F489" s="22">
        <v>32988</v>
      </c>
      <c r="G489" s="1">
        <v>3</v>
      </c>
      <c r="H489" s="1" t="s">
        <v>15</v>
      </c>
      <c r="I489" s="1">
        <v>0</v>
      </c>
      <c r="J489" s="1"/>
      <c r="K489" s="24">
        <v>40000</v>
      </c>
      <c r="L489" s="1" t="s">
        <v>17</v>
      </c>
      <c r="M489" s="3" t="s">
        <v>18</v>
      </c>
      <c r="N489">
        <f>IF(AND( Table15[[#This Row],[Salary]] &gt;= 80000, OR(Table15[[#This Row],[Last_performance_rating]] = "C", Table15[[#This Row],[Last_performance_rating]] = "PIP")) =  TRUE, 1, 0)</f>
        <v>0</v>
      </c>
    </row>
    <row r="490" spans="1:14" x14ac:dyDescent="0.25">
      <c r="A490" s="2">
        <v>10291</v>
      </c>
      <c r="B490" s="22">
        <v>23765</v>
      </c>
      <c r="C490" s="1" t="s">
        <v>1665</v>
      </c>
      <c r="D490" s="1" t="s">
        <v>1666</v>
      </c>
      <c r="E490" s="1" t="s">
        <v>13</v>
      </c>
      <c r="F490" s="22">
        <v>31684</v>
      </c>
      <c r="G490" s="1">
        <v>1</v>
      </c>
      <c r="H490" s="1" t="s">
        <v>15</v>
      </c>
      <c r="I490" s="1">
        <v>0</v>
      </c>
      <c r="J490" s="1"/>
      <c r="K490" s="24">
        <v>57430</v>
      </c>
      <c r="L490" s="1" t="s">
        <v>40</v>
      </c>
      <c r="M490" s="3" t="s">
        <v>41</v>
      </c>
      <c r="N490">
        <f>IF(AND( Table15[[#This Row],[Salary]] &gt;= 80000, OR(Table15[[#This Row],[Last_performance_rating]] = "C", Table15[[#This Row],[Last_performance_rating]] = "PIP")) =  TRUE, 1, 0)</f>
        <v>0</v>
      </c>
    </row>
    <row r="491" spans="1:14" x14ac:dyDescent="0.25">
      <c r="A491" s="2">
        <v>10292</v>
      </c>
      <c r="B491" s="22">
        <v>23038</v>
      </c>
      <c r="C491" s="1" t="s">
        <v>856</v>
      </c>
      <c r="D491" s="1" t="s">
        <v>1161</v>
      </c>
      <c r="E491" s="1" t="s">
        <v>33</v>
      </c>
      <c r="F491" s="22">
        <v>32664</v>
      </c>
      <c r="G491" s="1">
        <v>2</v>
      </c>
      <c r="H491" s="1" t="s">
        <v>29</v>
      </c>
      <c r="I491" s="1">
        <v>0</v>
      </c>
      <c r="J491" s="1"/>
      <c r="K491" s="24">
        <v>78370</v>
      </c>
      <c r="L491" s="1" t="s">
        <v>40</v>
      </c>
      <c r="M491" s="3" t="s">
        <v>41</v>
      </c>
      <c r="N491">
        <f>IF(AND( Table15[[#This Row],[Salary]] &gt;= 80000, OR(Table15[[#This Row],[Last_performance_rating]] = "C", Table15[[#This Row],[Last_performance_rating]] = "PIP")) =  TRUE, 1, 0)</f>
        <v>0</v>
      </c>
    </row>
    <row r="492" spans="1:14" x14ac:dyDescent="0.25">
      <c r="A492" s="2">
        <v>469215</v>
      </c>
      <c r="B492" s="22">
        <v>20465</v>
      </c>
      <c r="C492" s="1" t="s">
        <v>1671</v>
      </c>
      <c r="D492" s="1" t="s">
        <v>1672</v>
      </c>
      <c r="E492" s="1" t="s">
        <v>33</v>
      </c>
      <c r="F492" s="22">
        <v>32035</v>
      </c>
      <c r="G492" s="1">
        <v>6</v>
      </c>
      <c r="H492" s="1" t="s">
        <v>35</v>
      </c>
      <c r="I492" s="1">
        <v>0</v>
      </c>
      <c r="J492" s="1"/>
      <c r="K492" s="24">
        <v>56042</v>
      </c>
      <c r="L492" s="1" t="s">
        <v>17</v>
      </c>
      <c r="M492" s="3" t="s">
        <v>55</v>
      </c>
      <c r="N492">
        <f>IF(AND( Table15[[#This Row],[Salary]] &gt;= 80000, OR(Table15[[#This Row],[Last_performance_rating]] = "C", Table15[[#This Row],[Last_performance_rating]] = "PIP")) =  TRUE, 1, 0)</f>
        <v>0</v>
      </c>
    </row>
    <row r="493" spans="1:14" x14ac:dyDescent="0.25">
      <c r="A493" s="2">
        <v>10293</v>
      </c>
      <c r="B493" s="22">
        <v>20783</v>
      </c>
      <c r="C493" s="1" t="s">
        <v>1096</v>
      </c>
      <c r="D493" s="1" t="s">
        <v>1675</v>
      </c>
      <c r="E493" s="1" t="s">
        <v>33</v>
      </c>
      <c r="F493" s="22">
        <v>33950</v>
      </c>
      <c r="G493" s="1">
        <v>3</v>
      </c>
      <c r="H493" s="1" t="s">
        <v>29</v>
      </c>
      <c r="I493" s="1">
        <v>0</v>
      </c>
      <c r="J493" s="1"/>
      <c r="K493" s="24">
        <v>44200</v>
      </c>
      <c r="L493" s="1" t="s">
        <v>24</v>
      </c>
      <c r="M493" s="3" t="s">
        <v>18</v>
      </c>
      <c r="N493">
        <f>IF(AND( Table15[[#This Row],[Salary]] &gt;= 80000, OR(Table15[[#This Row],[Last_performance_rating]] = "C", Table15[[#This Row],[Last_performance_rating]] = "PIP")) =  TRUE, 1, 0)</f>
        <v>0</v>
      </c>
    </row>
    <row r="494" spans="1:14" x14ac:dyDescent="0.25">
      <c r="A494" s="2">
        <v>10294</v>
      </c>
      <c r="B494" s="22">
        <v>20094</v>
      </c>
      <c r="C494" s="1" t="s">
        <v>1268</v>
      </c>
      <c r="D494" s="1" t="s">
        <v>1678</v>
      </c>
      <c r="E494" s="1" t="s">
        <v>13</v>
      </c>
      <c r="F494" s="22">
        <v>35163</v>
      </c>
      <c r="G494" s="1">
        <v>1</v>
      </c>
      <c r="H494" s="1" t="s">
        <v>15</v>
      </c>
      <c r="I494" s="1">
        <v>0</v>
      </c>
      <c r="J494" s="1"/>
      <c r="K494" s="24">
        <v>66448</v>
      </c>
      <c r="L494" s="1" t="s">
        <v>17</v>
      </c>
      <c r="M494" s="3" t="s">
        <v>18</v>
      </c>
      <c r="N494">
        <f>IF(AND( Table15[[#This Row],[Salary]] &gt;= 80000, OR(Table15[[#This Row],[Last_performance_rating]] = "C", Table15[[#This Row],[Last_performance_rating]] = "PIP")) =  TRUE, 1, 0)</f>
        <v>0</v>
      </c>
    </row>
    <row r="495" spans="1:14" x14ac:dyDescent="0.25">
      <c r="A495" s="2">
        <v>69005</v>
      </c>
      <c r="B495" s="22">
        <v>21672</v>
      </c>
      <c r="C495" s="1" t="s">
        <v>238</v>
      </c>
      <c r="D495" s="1" t="s">
        <v>1681</v>
      </c>
      <c r="E495" s="1" t="s">
        <v>13</v>
      </c>
      <c r="F495" s="22">
        <v>33399</v>
      </c>
      <c r="G495" s="1">
        <v>9</v>
      </c>
      <c r="H495" s="1" t="s">
        <v>15</v>
      </c>
      <c r="I495" s="1">
        <v>0</v>
      </c>
      <c r="J495" s="1"/>
      <c r="K495" s="24">
        <v>40000</v>
      </c>
      <c r="L495" s="1" t="s">
        <v>17</v>
      </c>
      <c r="M495" s="3" t="s">
        <v>18</v>
      </c>
      <c r="N495">
        <f>IF(AND( Table15[[#This Row],[Salary]] &gt;= 80000, OR(Table15[[#This Row],[Last_performance_rating]] = "C", Table15[[#This Row],[Last_performance_rating]] = "PIP")) =  TRUE, 1, 0)</f>
        <v>0</v>
      </c>
    </row>
    <row r="496" spans="1:14" x14ac:dyDescent="0.25">
      <c r="A496" s="2">
        <v>69005</v>
      </c>
      <c r="B496" s="22">
        <v>21672</v>
      </c>
      <c r="C496" s="1" t="s">
        <v>238</v>
      </c>
      <c r="D496" s="1" t="s">
        <v>1681</v>
      </c>
      <c r="E496" s="1" t="s">
        <v>13</v>
      </c>
      <c r="F496" s="22">
        <v>33399</v>
      </c>
      <c r="G496" s="1">
        <v>9</v>
      </c>
      <c r="H496" s="1" t="s">
        <v>15</v>
      </c>
      <c r="I496" s="1">
        <v>0</v>
      </c>
      <c r="J496" s="1"/>
      <c r="K496" s="24">
        <v>40000</v>
      </c>
      <c r="L496" s="1" t="s">
        <v>61</v>
      </c>
      <c r="M496" s="3" t="s">
        <v>18</v>
      </c>
      <c r="N496">
        <f>IF(AND( Table15[[#This Row],[Salary]] &gt;= 80000, OR(Table15[[#This Row],[Last_performance_rating]] = "C", Table15[[#This Row],[Last_performance_rating]] = "PIP")) =  TRUE, 1, 0)</f>
        <v>0</v>
      </c>
    </row>
    <row r="497" spans="1:14" x14ac:dyDescent="0.25">
      <c r="A497" s="2">
        <v>10295</v>
      </c>
      <c r="B497" s="22">
        <v>19372</v>
      </c>
      <c r="C497" s="1" t="s">
        <v>1684</v>
      </c>
      <c r="D497" s="1" t="s">
        <v>1685</v>
      </c>
      <c r="E497" s="1" t="s">
        <v>13</v>
      </c>
      <c r="F497" s="22">
        <v>33112</v>
      </c>
      <c r="G497" s="1">
        <v>1</v>
      </c>
      <c r="H497" s="1" t="s">
        <v>15</v>
      </c>
      <c r="I497" s="1">
        <v>0</v>
      </c>
      <c r="J497" s="1"/>
      <c r="K497" s="24">
        <v>46398</v>
      </c>
      <c r="L497" s="1" t="s">
        <v>108</v>
      </c>
      <c r="M497" s="3" t="s">
        <v>41</v>
      </c>
      <c r="N497">
        <f>IF(AND( Table15[[#This Row],[Salary]] &gt;= 80000, OR(Table15[[#This Row],[Last_performance_rating]] = "C", Table15[[#This Row],[Last_performance_rating]] = "PIP")) =  TRUE, 1, 0)</f>
        <v>0</v>
      </c>
    </row>
    <row r="498" spans="1:14" x14ac:dyDescent="0.25">
      <c r="A498" s="2">
        <v>10296</v>
      </c>
      <c r="B498" s="22">
        <v>23510</v>
      </c>
      <c r="C498" s="1" t="s">
        <v>1688</v>
      </c>
      <c r="D498" s="1" t="s">
        <v>164</v>
      </c>
      <c r="E498" s="1" t="s">
        <v>13</v>
      </c>
      <c r="F498" s="22">
        <v>32767</v>
      </c>
      <c r="G498" s="1">
        <v>1</v>
      </c>
      <c r="H498" s="1" t="s">
        <v>35</v>
      </c>
      <c r="I498" s="1">
        <v>0</v>
      </c>
      <c r="J498" s="1"/>
      <c r="K498" s="24">
        <v>77788</v>
      </c>
      <c r="L498" s="1" t="s">
        <v>40</v>
      </c>
      <c r="M498" s="3" t="s">
        <v>41</v>
      </c>
      <c r="N498">
        <f>IF(AND( Table15[[#This Row],[Salary]] &gt;= 80000, OR(Table15[[#This Row],[Last_performance_rating]] = "C", Table15[[#This Row],[Last_performance_rating]] = "PIP")) =  TRUE, 1, 0)</f>
        <v>0</v>
      </c>
    </row>
    <row r="499" spans="1:14" x14ac:dyDescent="0.25">
      <c r="A499" s="2">
        <v>279559</v>
      </c>
      <c r="B499" s="22">
        <v>20896</v>
      </c>
      <c r="C499" s="1" t="s">
        <v>1691</v>
      </c>
      <c r="D499" s="1" t="s">
        <v>1692</v>
      </c>
      <c r="E499" s="1" t="s">
        <v>33</v>
      </c>
      <c r="F499" s="22">
        <v>33904</v>
      </c>
      <c r="G499" s="1">
        <v>8</v>
      </c>
      <c r="H499" s="1" t="s">
        <v>35</v>
      </c>
      <c r="I499" s="1">
        <v>0</v>
      </c>
      <c r="J499" s="1"/>
      <c r="K499" s="24">
        <v>83729</v>
      </c>
      <c r="L499" s="1" t="s">
        <v>40</v>
      </c>
      <c r="M499" s="3" t="s">
        <v>41</v>
      </c>
      <c r="N499">
        <f>IF(AND( Table15[[#This Row],[Salary]] &gt;= 80000, OR(Table15[[#This Row],[Last_performance_rating]] = "C", Table15[[#This Row],[Last_performance_rating]] = "PIP")) =  TRUE, 1, 0)</f>
        <v>0</v>
      </c>
    </row>
    <row r="500" spans="1:14" x14ac:dyDescent="0.25">
      <c r="A500" s="2">
        <v>279559</v>
      </c>
      <c r="B500" s="22">
        <v>20896</v>
      </c>
      <c r="C500" s="1" t="s">
        <v>1691</v>
      </c>
      <c r="D500" s="1" t="s">
        <v>1692</v>
      </c>
      <c r="E500" s="1" t="s">
        <v>33</v>
      </c>
      <c r="F500" s="22">
        <v>33904</v>
      </c>
      <c r="G500" s="1">
        <v>8</v>
      </c>
      <c r="H500" s="1" t="s">
        <v>35</v>
      </c>
      <c r="I500" s="1">
        <v>0</v>
      </c>
      <c r="J500" s="1"/>
      <c r="K500" s="24">
        <v>83729</v>
      </c>
      <c r="L500" s="1" t="s">
        <v>89</v>
      </c>
      <c r="M500" s="3" t="s">
        <v>41</v>
      </c>
      <c r="N500">
        <f>IF(AND( Table15[[#This Row],[Salary]] &gt;= 80000, OR(Table15[[#This Row],[Last_performance_rating]] = "C", Table15[[#This Row],[Last_performance_rating]] = "PIP")) =  TRUE, 1, 0)</f>
        <v>0</v>
      </c>
    </row>
    <row r="501" spans="1:14" x14ac:dyDescent="0.25">
      <c r="A501" s="7">
        <v>10297</v>
      </c>
      <c r="B501" s="23">
        <v>20623</v>
      </c>
      <c r="C501" s="8" t="s">
        <v>1695</v>
      </c>
      <c r="D501" s="8" t="s">
        <v>1696</v>
      </c>
      <c r="E501" s="8" t="s">
        <v>33</v>
      </c>
      <c r="F501" s="23">
        <v>31560</v>
      </c>
      <c r="G501" s="8">
        <v>9</v>
      </c>
      <c r="H501" s="8" t="s">
        <v>15</v>
      </c>
      <c r="I501" s="8">
        <v>0</v>
      </c>
      <c r="J501" s="8"/>
      <c r="K501" s="25">
        <v>63061</v>
      </c>
      <c r="L501" s="8" t="s">
        <v>24</v>
      </c>
      <c r="M501" s="9" t="s">
        <v>18</v>
      </c>
      <c r="N501">
        <f>IF(AND( Table15[[#This Row],[Salary]] &gt;= 80000, OR(Table15[[#This Row],[Last_performance_rating]] = "C", Table15[[#This Row],[Last_performance_rating]] = "PIP")) =  TRUE, 1, 0)</f>
        <v>0</v>
      </c>
    </row>
  </sheetData>
  <conditionalFormatting sqref="A2:M501">
    <cfRule type="expression" dxfId="20" priority="1">
      <formula>AND( $K2 &gt;= 80000, OR($H2 = "C", $H2 = "PIP"))</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99E60-14F0-46E3-BF38-185BD0E059DD}">
  <dimension ref="A1:N501"/>
  <sheetViews>
    <sheetView topLeftCell="C1" zoomScale="112" zoomScaleNormal="130" workbookViewId="0">
      <selection activeCell="H1" sqref="H1:H1048576"/>
    </sheetView>
  </sheetViews>
  <sheetFormatPr defaultRowHeight="15" x14ac:dyDescent="0.25"/>
  <cols>
    <col min="1" max="1" width="9.85546875" bestFit="1" customWidth="1"/>
    <col min="2" max="2" width="11.5703125" bestFit="1" customWidth="1"/>
    <col min="3" max="3" width="12.85546875" bestFit="1" customWidth="1"/>
    <col min="4" max="4" width="17.7109375" bestFit="1" customWidth="1"/>
    <col min="5" max="5" width="10" bestFit="1" customWidth="1"/>
    <col min="6" max="6" width="11.5703125" bestFit="1" customWidth="1"/>
    <col min="7" max="7" width="16.7109375" bestFit="1" customWidth="1"/>
    <col min="8" max="8" width="25.7109375" bestFit="1" customWidth="1"/>
    <col min="9" max="9" width="7.7109375" bestFit="1" customWidth="1"/>
    <col min="10" max="10" width="11.5703125" bestFit="1" customWidth="1"/>
    <col min="11" max="11" width="8.5703125" bestFit="1" customWidth="1"/>
    <col min="12" max="12" width="10.28515625" bestFit="1" customWidth="1"/>
    <col min="13" max="13" width="17.5703125" bestFit="1" customWidth="1"/>
    <col min="14" max="14" width="19.140625" customWidth="1"/>
  </cols>
  <sheetData>
    <row r="1" spans="1:14" x14ac:dyDescent="0.25">
      <c r="A1" s="4" t="s">
        <v>0</v>
      </c>
      <c r="B1" s="5" t="s">
        <v>1707</v>
      </c>
      <c r="C1" s="5" t="s">
        <v>1</v>
      </c>
      <c r="D1" s="5" t="s">
        <v>2</v>
      </c>
      <c r="E1" s="5" t="s">
        <v>3</v>
      </c>
      <c r="F1" s="5" t="s">
        <v>4</v>
      </c>
      <c r="G1" s="5" t="s">
        <v>5</v>
      </c>
      <c r="H1" s="5" t="s">
        <v>6</v>
      </c>
      <c r="I1" s="5" t="s">
        <v>1706</v>
      </c>
      <c r="J1" s="5" t="s">
        <v>7</v>
      </c>
      <c r="K1" s="5" t="s">
        <v>1708</v>
      </c>
      <c r="L1" s="5" t="s">
        <v>8</v>
      </c>
      <c r="M1" s="6" t="s">
        <v>9</v>
      </c>
      <c r="N1" s="5" t="s">
        <v>1777</v>
      </c>
    </row>
    <row r="2" spans="1:14" x14ac:dyDescent="0.25">
      <c r="A2" s="2">
        <v>10001</v>
      </c>
      <c r="B2" s="1" t="s">
        <v>10</v>
      </c>
      <c r="C2" s="1" t="s">
        <v>11</v>
      </c>
      <c r="D2" s="1" t="s">
        <v>12</v>
      </c>
      <c r="E2" s="1" t="s">
        <v>13</v>
      </c>
      <c r="F2" s="1" t="s">
        <v>14</v>
      </c>
      <c r="G2" s="1">
        <v>9</v>
      </c>
      <c r="H2" s="1" t="s">
        <v>15</v>
      </c>
      <c r="I2" s="1">
        <v>1</v>
      </c>
      <c r="J2" s="1" t="s">
        <v>16</v>
      </c>
      <c r="K2" s="1">
        <v>60117</v>
      </c>
      <c r="L2" s="1" t="s">
        <v>17</v>
      </c>
      <c r="M2" s="3" t="s">
        <v>18</v>
      </c>
      <c r="N2" s="5" t="str">
        <f>INDEX(Table3[#All], MATCH(Table13[[#This Row],[Dept_Id]], Table3[[#All],[Dept_Id]], 0), 1)</f>
        <v>Development</v>
      </c>
    </row>
    <row r="3" spans="1:14" x14ac:dyDescent="0.25">
      <c r="A3" s="2">
        <v>10003</v>
      </c>
      <c r="B3" s="1" t="s">
        <v>19</v>
      </c>
      <c r="C3" s="1" t="s">
        <v>20</v>
      </c>
      <c r="D3" s="1" t="s">
        <v>21</v>
      </c>
      <c r="E3" s="1" t="s">
        <v>13</v>
      </c>
      <c r="F3" s="1" t="s">
        <v>22</v>
      </c>
      <c r="G3" s="1">
        <v>1</v>
      </c>
      <c r="H3" s="1" t="s">
        <v>15</v>
      </c>
      <c r="I3" s="1">
        <v>0</v>
      </c>
      <c r="J3" s="1" t="s">
        <v>23</v>
      </c>
      <c r="K3" s="1">
        <v>40006</v>
      </c>
      <c r="L3" s="1" t="s">
        <v>24</v>
      </c>
      <c r="M3" s="3" t="s">
        <v>18</v>
      </c>
      <c r="N3" s="1" t="str">
        <f>INDEX(Table3[#All], MATCH(Table13[[#This Row],[Dept_Id]], Table3[[#All],[Dept_Id]], 0), 1)</f>
        <v>Production</v>
      </c>
    </row>
    <row r="4" spans="1:14" x14ac:dyDescent="0.25">
      <c r="A4" s="2">
        <v>10004</v>
      </c>
      <c r="B4" s="1" t="s">
        <v>25</v>
      </c>
      <c r="C4" s="1" t="s">
        <v>26</v>
      </c>
      <c r="D4" s="1" t="s">
        <v>27</v>
      </c>
      <c r="E4" s="1" t="s">
        <v>13</v>
      </c>
      <c r="F4" s="1" t="s">
        <v>28</v>
      </c>
      <c r="G4" s="1">
        <v>5</v>
      </c>
      <c r="H4" s="1" t="s">
        <v>29</v>
      </c>
      <c r="I4" s="1">
        <v>0</v>
      </c>
      <c r="J4" s="1" t="s">
        <v>23</v>
      </c>
      <c r="K4" s="1">
        <v>40054</v>
      </c>
      <c r="L4" s="1" t="s">
        <v>24</v>
      </c>
      <c r="M4" s="3" t="s">
        <v>18</v>
      </c>
      <c r="N4" s="1" t="str">
        <f>INDEX(Table3[#All], MATCH(Table13[[#This Row],[Dept_Id]], Table3[[#All],[Dept_Id]], 0), 1)</f>
        <v>Production</v>
      </c>
    </row>
    <row r="5" spans="1:14" x14ac:dyDescent="0.25">
      <c r="A5" s="2">
        <v>10006</v>
      </c>
      <c r="B5" s="1" t="s">
        <v>30</v>
      </c>
      <c r="C5" s="1" t="s">
        <v>31</v>
      </c>
      <c r="D5" s="1" t="s">
        <v>32</v>
      </c>
      <c r="E5" s="1" t="s">
        <v>33</v>
      </c>
      <c r="F5" s="1" t="s">
        <v>34</v>
      </c>
      <c r="G5" s="1">
        <v>10</v>
      </c>
      <c r="H5" s="1" t="s">
        <v>35</v>
      </c>
      <c r="I5" s="1">
        <v>0</v>
      </c>
      <c r="J5" s="1" t="s">
        <v>23</v>
      </c>
      <c r="K5" s="1">
        <v>40000</v>
      </c>
      <c r="L5" s="1" t="s">
        <v>17</v>
      </c>
      <c r="M5" s="3" t="s">
        <v>18</v>
      </c>
      <c r="N5" s="1" t="str">
        <f>INDEX(Table3[#All], MATCH(Table13[[#This Row],[Dept_Id]], Table3[[#All],[Dept_Id]], 0), 1)</f>
        <v>Development</v>
      </c>
    </row>
    <row r="6" spans="1:14" x14ac:dyDescent="0.25">
      <c r="A6" s="2">
        <v>10002</v>
      </c>
      <c r="B6" s="1" t="s">
        <v>36</v>
      </c>
      <c r="C6" s="1" t="s">
        <v>37</v>
      </c>
      <c r="D6" s="1" t="s">
        <v>38</v>
      </c>
      <c r="E6" s="1" t="s">
        <v>33</v>
      </c>
      <c r="F6" s="1" t="s">
        <v>39</v>
      </c>
      <c r="G6" s="1">
        <v>8</v>
      </c>
      <c r="H6" s="1" t="s">
        <v>35</v>
      </c>
      <c r="I6" s="1">
        <v>0</v>
      </c>
      <c r="J6" s="1" t="s">
        <v>23</v>
      </c>
      <c r="K6" s="1">
        <v>65828</v>
      </c>
      <c r="L6" s="1" t="s">
        <v>40</v>
      </c>
      <c r="M6" s="3" t="s">
        <v>41</v>
      </c>
      <c r="N6" s="1" t="str">
        <f>INDEX(Table3[#All], MATCH(Table13[[#This Row],[Dept_Id]], Table3[[#All],[Dept_Id]], 0), 1)</f>
        <v>Sales</v>
      </c>
    </row>
    <row r="7" spans="1:14" x14ac:dyDescent="0.25">
      <c r="A7" s="2">
        <v>10005</v>
      </c>
      <c r="B7" s="1" t="s">
        <v>42</v>
      </c>
      <c r="C7" s="1" t="s">
        <v>43</v>
      </c>
      <c r="D7" s="1" t="s">
        <v>44</v>
      </c>
      <c r="E7" s="1" t="s">
        <v>13</v>
      </c>
      <c r="F7" s="1" t="s">
        <v>45</v>
      </c>
      <c r="G7" s="1">
        <v>6</v>
      </c>
      <c r="H7" s="1" t="s">
        <v>29</v>
      </c>
      <c r="I7" s="1">
        <v>0</v>
      </c>
      <c r="J7" s="1" t="s">
        <v>23</v>
      </c>
      <c r="K7" s="1">
        <v>78228</v>
      </c>
      <c r="L7" s="1" t="s">
        <v>46</v>
      </c>
      <c r="M7" s="3" t="s">
        <v>41</v>
      </c>
      <c r="N7" s="1" t="str">
        <f>INDEX(Table3[#All], MATCH(Table13[[#This Row],[Dept_Id]], Table3[[#All],[Dept_Id]], 0), 1)</f>
        <v>Human Resources</v>
      </c>
    </row>
    <row r="8" spans="1:14" x14ac:dyDescent="0.25">
      <c r="A8" s="2">
        <v>421786</v>
      </c>
      <c r="B8" s="1" t="s">
        <v>47</v>
      </c>
      <c r="C8" s="1" t="s">
        <v>48</v>
      </c>
      <c r="D8" s="1" t="s">
        <v>49</v>
      </c>
      <c r="E8" s="1" t="s">
        <v>13</v>
      </c>
      <c r="F8" s="1" t="s">
        <v>50</v>
      </c>
      <c r="G8" s="1">
        <v>2</v>
      </c>
      <c r="H8" s="1" t="s">
        <v>15</v>
      </c>
      <c r="I8" s="1">
        <v>0</v>
      </c>
      <c r="J8" s="1" t="s">
        <v>23</v>
      </c>
      <c r="K8" s="1">
        <v>40000</v>
      </c>
      <c r="L8" s="1" t="s">
        <v>46</v>
      </c>
      <c r="M8" s="3" t="s">
        <v>41</v>
      </c>
      <c r="N8" s="1" t="str">
        <f>INDEX(Table3[#All], MATCH(Table13[[#This Row],[Dept_Id]], Table3[[#All],[Dept_Id]], 0), 1)</f>
        <v>Human Resources</v>
      </c>
    </row>
    <row r="9" spans="1:14" x14ac:dyDescent="0.25">
      <c r="A9" s="2">
        <v>57444</v>
      </c>
      <c r="B9" s="1" t="s">
        <v>51</v>
      </c>
      <c r="C9" s="1" t="s">
        <v>52</v>
      </c>
      <c r="D9" s="1" t="s">
        <v>53</v>
      </c>
      <c r="E9" s="1" t="s">
        <v>33</v>
      </c>
      <c r="F9" s="1" t="s">
        <v>54</v>
      </c>
      <c r="G9" s="1">
        <v>9</v>
      </c>
      <c r="H9" s="1" t="s">
        <v>29</v>
      </c>
      <c r="I9" s="1">
        <v>0</v>
      </c>
      <c r="J9" s="1" t="s">
        <v>23</v>
      </c>
      <c r="K9" s="1">
        <v>48973</v>
      </c>
      <c r="L9" s="1" t="s">
        <v>24</v>
      </c>
      <c r="M9" s="3" t="s">
        <v>55</v>
      </c>
      <c r="N9" s="1" t="str">
        <f>INDEX(Table3[#All], MATCH(Table13[[#This Row],[Dept_Id]], Table3[[#All],[Dept_Id]], 0), 1)</f>
        <v>Production</v>
      </c>
    </row>
    <row r="10" spans="1:14" x14ac:dyDescent="0.25">
      <c r="A10" s="2">
        <v>10007</v>
      </c>
      <c r="B10" s="1" t="s">
        <v>56</v>
      </c>
      <c r="C10" s="1" t="s">
        <v>57</v>
      </c>
      <c r="D10" s="1" t="s">
        <v>58</v>
      </c>
      <c r="E10" s="1" t="s">
        <v>33</v>
      </c>
      <c r="F10" s="1" t="s">
        <v>59</v>
      </c>
      <c r="G10" s="1">
        <v>6</v>
      </c>
      <c r="H10" s="1" t="s">
        <v>35</v>
      </c>
      <c r="I10" s="1">
        <v>1</v>
      </c>
      <c r="J10" s="1" t="s">
        <v>60</v>
      </c>
      <c r="K10" s="1">
        <v>56724</v>
      </c>
      <c r="L10" s="1" t="s">
        <v>61</v>
      </c>
      <c r="M10" s="3" t="s">
        <v>41</v>
      </c>
      <c r="N10" s="1" t="str">
        <f>INDEX(Table3[#All], MATCH(Table13[[#This Row],[Dept_Id]], Table3[[#All],[Dept_Id]], 0), 1)</f>
        <v>Research</v>
      </c>
    </row>
    <row r="11" spans="1:14" x14ac:dyDescent="0.25">
      <c r="A11" s="2">
        <v>10008</v>
      </c>
      <c r="B11" s="1" t="s">
        <v>62</v>
      </c>
      <c r="C11" s="1" t="s">
        <v>63</v>
      </c>
      <c r="D11" s="1" t="s">
        <v>64</v>
      </c>
      <c r="E11" s="1" t="s">
        <v>13</v>
      </c>
      <c r="F11" s="1" t="s">
        <v>65</v>
      </c>
      <c r="G11" s="1">
        <v>9</v>
      </c>
      <c r="H11" s="1" t="s">
        <v>15</v>
      </c>
      <c r="I11" s="1">
        <v>0</v>
      </c>
      <c r="J11" s="1" t="s">
        <v>23</v>
      </c>
      <c r="K11" s="1">
        <v>46671</v>
      </c>
      <c r="L11" s="1" t="s">
        <v>17</v>
      </c>
      <c r="M11" s="3" t="s">
        <v>66</v>
      </c>
      <c r="N11" s="1" t="str">
        <f>INDEX(Table3[#All], MATCH(Table13[[#This Row],[Dept_Id]], Table3[[#All],[Dept_Id]], 0), 1)</f>
        <v>Development</v>
      </c>
    </row>
    <row r="12" spans="1:14" x14ac:dyDescent="0.25">
      <c r="A12" s="2">
        <v>282238</v>
      </c>
      <c r="B12" s="1" t="s">
        <v>67</v>
      </c>
      <c r="C12" s="1" t="s">
        <v>68</v>
      </c>
      <c r="D12" s="1" t="s">
        <v>69</v>
      </c>
      <c r="E12" s="1" t="s">
        <v>33</v>
      </c>
      <c r="F12" s="1" t="s">
        <v>70</v>
      </c>
      <c r="G12" s="1">
        <v>6</v>
      </c>
      <c r="H12" s="1" t="s">
        <v>35</v>
      </c>
      <c r="I12" s="1">
        <v>0</v>
      </c>
      <c r="J12" s="1" t="s">
        <v>23</v>
      </c>
      <c r="K12" s="1">
        <v>40000</v>
      </c>
      <c r="L12" s="1" t="s">
        <v>71</v>
      </c>
      <c r="M12" s="3" t="s">
        <v>18</v>
      </c>
      <c r="N12" s="1" t="str">
        <f>INDEX(Table3[#All], MATCH(Table13[[#This Row],[Dept_Id]], Table3[[#All],[Dept_Id]], 0), 1)</f>
        <v>Quality Management</v>
      </c>
    </row>
    <row r="13" spans="1:14" x14ac:dyDescent="0.25">
      <c r="A13" s="2">
        <v>10009</v>
      </c>
      <c r="B13" s="1" t="s">
        <v>72</v>
      </c>
      <c r="C13" s="1" t="s">
        <v>73</v>
      </c>
      <c r="D13" s="1" t="s">
        <v>74</v>
      </c>
      <c r="E13" s="1" t="s">
        <v>33</v>
      </c>
      <c r="F13" s="1" t="s">
        <v>75</v>
      </c>
      <c r="G13" s="1">
        <v>8</v>
      </c>
      <c r="H13" s="1" t="s">
        <v>35</v>
      </c>
      <c r="I13" s="1">
        <v>0</v>
      </c>
      <c r="J13" s="1" t="s">
        <v>23</v>
      </c>
      <c r="K13" s="1">
        <v>60929</v>
      </c>
      <c r="L13" s="1" t="s">
        <v>71</v>
      </c>
      <c r="M13" s="3" t="s">
        <v>18</v>
      </c>
      <c r="N13" s="1" t="str">
        <f>INDEX(Table3[#All], MATCH(Table13[[#This Row],[Dept_Id]], Table3[[#All],[Dept_Id]], 0), 1)</f>
        <v>Quality Management</v>
      </c>
    </row>
    <row r="14" spans="1:14" x14ac:dyDescent="0.25">
      <c r="A14" s="2">
        <v>10010</v>
      </c>
      <c r="B14" s="1" t="s">
        <v>76</v>
      </c>
      <c r="C14" s="1" t="s">
        <v>77</v>
      </c>
      <c r="D14" s="1" t="s">
        <v>78</v>
      </c>
      <c r="E14" s="1" t="s">
        <v>33</v>
      </c>
      <c r="F14" s="1" t="s">
        <v>79</v>
      </c>
      <c r="G14" s="1">
        <v>4</v>
      </c>
      <c r="H14" s="1" t="s">
        <v>29</v>
      </c>
      <c r="I14" s="1">
        <v>0</v>
      </c>
      <c r="J14" s="1" t="s">
        <v>23</v>
      </c>
      <c r="K14" s="1">
        <v>72488</v>
      </c>
      <c r="L14" s="1" t="s">
        <v>24</v>
      </c>
      <c r="M14" s="3" t="s">
        <v>55</v>
      </c>
      <c r="N14" s="1" t="str">
        <f>INDEX(Table3[#All], MATCH(Table13[[#This Row],[Dept_Id]], Table3[[#All],[Dept_Id]], 0), 1)</f>
        <v>Production</v>
      </c>
    </row>
    <row r="15" spans="1:14" x14ac:dyDescent="0.25">
      <c r="A15" s="2">
        <v>10010</v>
      </c>
      <c r="B15" s="1" t="s">
        <v>76</v>
      </c>
      <c r="C15" s="1" t="s">
        <v>77</v>
      </c>
      <c r="D15" s="1" t="s">
        <v>78</v>
      </c>
      <c r="E15" s="1" t="s">
        <v>33</v>
      </c>
      <c r="F15" s="1" t="s">
        <v>79</v>
      </c>
      <c r="G15" s="1">
        <v>4</v>
      </c>
      <c r="H15" s="1" t="s">
        <v>29</v>
      </c>
      <c r="I15" s="1">
        <v>0</v>
      </c>
      <c r="J15" s="1" t="s">
        <v>23</v>
      </c>
      <c r="K15" s="1">
        <v>72488</v>
      </c>
      <c r="L15" s="1" t="s">
        <v>71</v>
      </c>
      <c r="M15" s="3" t="s">
        <v>55</v>
      </c>
      <c r="N15" s="1" t="str">
        <f>INDEX(Table3[#All], MATCH(Table13[[#This Row],[Dept_Id]], Table3[[#All],[Dept_Id]], 0), 1)</f>
        <v>Quality Management</v>
      </c>
    </row>
    <row r="16" spans="1:14" x14ac:dyDescent="0.25">
      <c r="A16" s="2">
        <v>263976</v>
      </c>
      <c r="B16" s="1" t="s">
        <v>80</v>
      </c>
      <c r="C16" s="1" t="s">
        <v>81</v>
      </c>
      <c r="D16" s="1" t="s">
        <v>82</v>
      </c>
      <c r="E16" s="1" t="s">
        <v>13</v>
      </c>
      <c r="F16" s="1" t="s">
        <v>83</v>
      </c>
      <c r="G16" s="1">
        <v>8</v>
      </c>
      <c r="H16" s="1" t="s">
        <v>35</v>
      </c>
      <c r="I16" s="1">
        <v>1</v>
      </c>
      <c r="J16" s="1" t="s">
        <v>84</v>
      </c>
      <c r="K16" s="1">
        <v>40000</v>
      </c>
      <c r="L16" s="1" t="s">
        <v>71</v>
      </c>
      <c r="M16" s="3" t="s">
        <v>18</v>
      </c>
      <c r="N16" s="1" t="str">
        <f>INDEX(Table3[#All], MATCH(Table13[[#This Row],[Dept_Id]], Table3[[#All],[Dept_Id]], 0), 1)</f>
        <v>Quality Management</v>
      </c>
    </row>
    <row r="17" spans="1:14" x14ac:dyDescent="0.25">
      <c r="A17" s="2">
        <v>10011</v>
      </c>
      <c r="B17" s="1" t="s">
        <v>85</v>
      </c>
      <c r="C17" s="1" t="s">
        <v>86</v>
      </c>
      <c r="D17" s="1" t="s">
        <v>87</v>
      </c>
      <c r="E17" s="1" t="s">
        <v>33</v>
      </c>
      <c r="F17" s="1" t="s">
        <v>88</v>
      </c>
      <c r="G17" s="1">
        <v>6</v>
      </c>
      <c r="H17" s="1" t="s">
        <v>15</v>
      </c>
      <c r="I17" s="1">
        <v>0</v>
      </c>
      <c r="J17" s="1" t="s">
        <v>23</v>
      </c>
      <c r="K17" s="1">
        <v>42365</v>
      </c>
      <c r="L17" s="1" t="s">
        <v>89</v>
      </c>
      <c r="M17" s="3" t="s">
        <v>41</v>
      </c>
      <c r="N17" s="1" t="str">
        <f>INDEX(Table3[#All], MATCH(Table13[[#This Row],[Dept_Id]], Table3[[#All],[Dept_Id]], 0), 1)</f>
        <v>Customer Service</v>
      </c>
    </row>
    <row r="18" spans="1:14" x14ac:dyDescent="0.25">
      <c r="A18" s="2">
        <v>273487</v>
      </c>
      <c r="B18" s="1" t="s">
        <v>90</v>
      </c>
      <c r="C18" s="1" t="s">
        <v>91</v>
      </c>
      <c r="D18" s="1" t="s">
        <v>92</v>
      </c>
      <c r="E18" s="1" t="s">
        <v>13</v>
      </c>
      <c r="F18" s="1" t="s">
        <v>93</v>
      </c>
      <c r="G18" s="1">
        <v>10</v>
      </c>
      <c r="H18" s="1" t="s">
        <v>29</v>
      </c>
      <c r="I18" s="1">
        <v>0</v>
      </c>
      <c r="J18" s="1" t="s">
        <v>23</v>
      </c>
      <c r="K18" s="1">
        <v>56087</v>
      </c>
      <c r="L18" s="1" t="s">
        <v>46</v>
      </c>
      <c r="M18" s="3" t="s">
        <v>41</v>
      </c>
      <c r="N18" s="1" t="str">
        <f>INDEX(Table3[#All], MATCH(Table13[[#This Row],[Dept_Id]], Table3[[#All],[Dept_Id]], 0), 1)</f>
        <v>Human Resources</v>
      </c>
    </row>
    <row r="19" spans="1:14" x14ac:dyDescent="0.25">
      <c r="A19" s="2">
        <v>10012</v>
      </c>
      <c r="B19" s="1" t="s">
        <v>94</v>
      </c>
      <c r="C19" s="1" t="s">
        <v>95</v>
      </c>
      <c r="D19" s="1" t="s">
        <v>96</v>
      </c>
      <c r="E19" s="1" t="s">
        <v>13</v>
      </c>
      <c r="F19" s="1" t="s">
        <v>97</v>
      </c>
      <c r="G19" s="1">
        <v>3</v>
      </c>
      <c r="H19" s="1" t="s">
        <v>29</v>
      </c>
      <c r="I19" s="1">
        <v>0</v>
      </c>
      <c r="J19" s="1" t="s">
        <v>23</v>
      </c>
      <c r="K19" s="1">
        <v>40000</v>
      </c>
      <c r="L19" s="1" t="s">
        <v>17</v>
      </c>
      <c r="M19" s="3" t="s">
        <v>18</v>
      </c>
      <c r="N19" s="1" t="str">
        <f>INDEX(Table3[#All], MATCH(Table13[[#This Row],[Dept_Id]], Table3[[#All],[Dept_Id]], 0), 1)</f>
        <v>Development</v>
      </c>
    </row>
    <row r="20" spans="1:14" x14ac:dyDescent="0.25">
      <c r="A20" s="2">
        <v>10013</v>
      </c>
      <c r="B20" s="1" t="s">
        <v>98</v>
      </c>
      <c r="C20" s="1" t="s">
        <v>99</v>
      </c>
      <c r="D20" s="1" t="s">
        <v>100</v>
      </c>
      <c r="E20" s="1" t="s">
        <v>13</v>
      </c>
      <c r="F20" s="1" t="s">
        <v>101</v>
      </c>
      <c r="G20" s="1">
        <v>6</v>
      </c>
      <c r="H20" s="1" t="s">
        <v>15</v>
      </c>
      <c r="I20" s="1">
        <v>0</v>
      </c>
      <c r="J20" s="1" t="s">
        <v>23</v>
      </c>
      <c r="K20" s="1">
        <v>40000</v>
      </c>
      <c r="L20" s="1" t="s">
        <v>46</v>
      </c>
      <c r="M20" s="3" t="s">
        <v>102</v>
      </c>
      <c r="N20" s="1" t="str">
        <f>INDEX(Table3[#All], MATCH(Table13[[#This Row],[Dept_Id]], Table3[[#All],[Dept_Id]], 0), 1)</f>
        <v>Human Resources</v>
      </c>
    </row>
    <row r="21" spans="1:14" x14ac:dyDescent="0.25">
      <c r="A21" s="2">
        <v>461591</v>
      </c>
      <c r="B21" s="1" t="s">
        <v>103</v>
      </c>
      <c r="C21" s="1" t="s">
        <v>104</v>
      </c>
      <c r="D21" s="1" t="s">
        <v>105</v>
      </c>
      <c r="E21" s="1" t="s">
        <v>13</v>
      </c>
      <c r="F21" s="1" t="s">
        <v>106</v>
      </c>
      <c r="G21" s="1">
        <v>2</v>
      </c>
      <c r="H21" s="1" t="s">
        <v>29</v>
      </c>
      <c r="I21" s="1">
        <v>1</v>
      </c>
      <c r="J21" s="1" t="s">
        <v>107</v>
      </c>
      <c r="K21" s="1">
        <v>40000</v>
      </c>
      <c r="L21" s="1" t="s">
        <v>108</v>
      </c>
      <c r="M21" s="3" t="s">
        <v>102</v>
      </c>
      <c r="N21" s="1" t="str">
        <f>INDEX(Table3[#All], MATCH(Table13[[#This Row],[Dept_Id]], Table3[[#All],[Dept_Id]], 0), 1)</f>
        <v>Finance</v>
      </c>
    </row>
    <row r="22" spans="1:14" x14ac:dyDescent="0.25">
      <c r="A22" s="2">
        <v>10014</v>
      </c>
      <c r="B22" s="1" t="s">
        <v>109</v>
      </c>
      <c r="C22" s="1" t="s">
        <v>110</v>
      </c>
      <c r="D22" s="1" t="s">
        <v>111</v>
      </c>
      <c r="E22" s="1" t="s">
        <v>13</v>
      </c>
      <c r="F22" s="1" t="s">
        <v>112</v>
      </c>
      <c r="G22" s="1">
        <v>9</v>
      </c>
      <c r="H22" s="1" t="s">
        <v>35</v>
      </c>
      <c r="I22" s="1">
        <v>0</v>
      </c>
      <c r="J22" s="1" t="s">
        <v>23</v>
      </c>
      <c r="K22" s="1">
        <v>46168</v>
      </c>
      <c r="L22" s="1" t="s">
        <v>17</v>
      </c>
      <c r="M22" s="3" t="s">
        <v>55</v>
      </c>
      <c r="N22" s="1" t="str">
        <f>INDEX(Table3[#All], MATCH(Table13[[#This Row],[Dept_Id]], Table3[[#All],[Dept_Id]], 0), 1)</f>
        <v>Development</v>
      </c>
    </row>
    <row r="23" spans="1:14" x14ac:dyDescent="0.25">
      <c r="A23" s="2">
        <v>10015</v>
      </c>
      <c r="B23" s="1" t="s">
        <v>113</v>
      </c>
      <c r="C23" s="1" t="s">
        <v>114</v>
      </c>
      <c r="D23" s="1" t="s">
        <v>115</v>
      </c>
      <c r="E23" s="1" t="s">
        <v>13</v>
      </c>
      <c r="F23" s="1" t="s">
        <v>116</v>
      </c>
      <c r="G23" s="1">
        <v>4</v>
      </c>
      <c r="H23" s="1" t="s">
        <v>35</v>
      </c>
      <c r="I23" s="1">
        <v>0</v>
      </c>
      <c r="J23" s="1" t="s">
        <v>23</v>
      </c>
      <c r="K23" s="1">
        <v>40000</v>
      </c>
      <c r="L23" s="1" t="s">
        <v>61</v>
      </c>
      <c r="M23" s="3" t="s">
        <v>102</v>
      </c>
      <c r="N23" s="1" t="str">
        <f>INDEX(Table3[#All], MATCH(Table13[[#This Row],[Dept_Id]], Table3[[#All],[Dept_Id]], 0), 1)</f>
        <v>Research</v>
      </c>
    </row>
    <row r="24" spans="1:14" x14ac:dyDescent="0.25">
      <c r="A24" s="2">
        <v>10016</v>
      </c>
      <c r="B24" s="1" t="s">
        <v>117</v>
      </c>
      <c r="C24" s="1" t="s">
        <v>118</v>
      </c>
      <c r="D24" s="1" t="s">
        <v>119</v>
      </c>
      <c r="E24" s="1" t="s">
        <v>13</v>
      </c>
      <c r="F24" s="1" t="s">
        <v>120</v>
      </c>
      <c r="G24" s="1">
        <v>5</v>
      </c>
      <c r="H24" s="1" t="s">
        <v>15</v>
      </c>
      <c r="I24" s="1">
        <v>0</v>
      </c>
      <c r="J24" s="1" t="s">
        <v>23</v>
      </c>
      <c r="K24" s="1">
        <v>70889</v>
      </c>
      <c r="L24" s="1" t="s">
        <v>40</v>
      </c>
      <c r="M24" s="3" t="s">
        <v>41</v>
      </c>
      <c r="N24" s="1" t="str">
        <f>INDEX(Table3[#All], MATCH(Table13[[#This Row],[Dept_Id]], Table3[[#All],[Dept_Id]], 0), 1)</f>
        <v>Sales</v>
      </c>
    </row>
    <row r="25" spans="1:14" x14ac:dyDescent="0.25">
      <c r="A25" s="2">
        <v>10017</v>
      </c>
      <c r="B25" s="1" t="s">
        <v>121</v>
      </c>
      <c r="C25" s="1" t="s">
        <v>122</v>
      </c>
      <c r="D25" s="1" t="s">
        <v>123</v>
      </c>
      <c r="E25" s="1" t="s">
        <v>33</v>
      </c>
      <c r="F25" s="1" t="s">
        <v>124</v>
      </c>
      <c r="G25" s="1">
        <v>10</v>
      </c>
      <c r="H25" s="1" t="s">
        <v>29</v>
      </c>
      <c r="I25" s="1">
        <v>0</v>
      </c>
      <c r="J25" s="1" t="s">
        <v>23</v>
      </c>
      <c r="K25" s="1">
        <v>71380</v>
      </c>
      <c r="L25" s="1" t="s">
        <v>125</v>
      </c>
      <c r="M25" s="3" t="s">
        <v>41</v>
      </c>
      <c r="N25" s="1" t="str">
        <f>INDEX(Table3[#All], MATCH(Table13[[#This Row],[Dept_Id]], Table3[[#All],[Dept_Id]], 0), 1)</f>
        <v>Marketing</v>
      </c>
    </row>
    <row r="26" spans="1:14" x14ac:dyDescent="0.25">
      <c r="A26" s="2">
        <v>219881</v>
      </c>
      <c r="B26" s="1" t="s">
        <v>126</v>
      </c>
      <c r="C26" s="1" t="s">
        <v>127</v>
      </c>
      <c r="D26" s="1" t="s">
        <v>128</v>
      </c>
      <c r="E26" s="1" t="s">
        <v>33</v>
      </c>
      <c r="F26" s="1" t="s">
        <v>129</v>
      </c>
      <c r="G26" s="1">
        <v>6</v>
      </c>
      <c r="H26" s="1" t="s">
        <v>35</v>
      </c>
      <c r="I26" s="1">
        <v>0</v>
      </c>
      <c r="J26" s="1" t="s">
        <v>23</v>
      </c>
      <c r="K26" s="1">
        <v>40000</v>
      </c>
      <c r="L26" s="1" t="s">
        <v>89</v>
      </c>
      <c r="M26" s="3" t="s">
        <v>102</v>
      </c>
      <c r="N26" s="1" t="str">
        <f>INDEX(Table3[#All], MATCH(Table13[[#This Row],[Dept_Id]], Table3[[#All],[Dept_Id]], 0), 1)</f>
        <v>Customer Service</v>
      </c>
    </row>
    <row r="27" spans="1:14" x14ac:dyDescent="0.25">
      <c r="A27" s="2">
        <v>10018</v>
      </c>
      <c r="B27" s="1" t="s">
        <v>130</v>
      </c>
      <c r="C27" s="1" t="s">
        <v>131</v>
      </c>
      <c r="D27" s="1" t="s">
        <v>132</v>
      </c>
      <c r="E27" s="1" t="s">
        <v>33</v>
      </c>
      <c r="F27" s="1" t="s">
        <v>133</v>
      </c>
      <c r="G27" s="1">
        <v>4</v>
      </c>
      <c r="H27" s="1" t="s">
        <v>35</v>
      </c>
      <c r="I27" s="1">
        <v>0</v>
      </c>
      <c r="J27" s="1" t="s">
        <v>23</v>
      </c>
      <c r="K27" s="1">
        <v>55881</v>
      </c>
      <c r="L27" s="1" t="s">
        <v>24</v>
      </c>
      <c r="M27" s="3" t="s">
        <v>18</v>
      </c>
      <c r="N27" s="1" t="str">
        <f>INDEX(Table3[#All], MATCH(Table13[[#This Row],[Dept_Id]], Table3[[#All],[Dept_Id]], 0), 1)</f>
        <v>Production</v>
      </c>
    </row>
    <row r="28" spans="1:14" x14ac:dyDescent="0.25">
      <c r="A28" s="2">
        <v>10018</v>
      </c>
      <c r="B28" s="1" t="s">
        <v>130</v>
      </c>
      <c r="C28" s="1" t="s">
        <v>131</v>
      </c>
      <c r="D28" s="1" t="s">
        <v>132</v>
      </c>
      <c r="E28" s="1" t="s">
        <v>33</v>
      </c>
      <c r="F28" s="1" t="s">
        <v>133</v>
      </c>
      <c r="G28" s="1">
        <v>4</v>
      </c>
      <c r="H28" s="1" t="s">
        <v>35</v>
      </c>
      <c r="I28" s="1">
        <v>0</v>
      </c>
      <c r="J28" s="1" t="s">
        <v>23</v>
      </c>
      <c r="K28" s="1">
        <v>55881</v>
      </c>
      <c r="L28" s="1" t="s">
        <v>17</v>
      </c>
      <c r="M28" s="3" t="s">
        <v>18</v>
      </c>
      <c r="N28" s="1" t="str">
        <f>INDEX(Table3[#All], MATCH(Table13[[#This Row],[Dept_Id]], Table3[[#All],[Dept_Id]], 0), 1)</f>
        <v>Development</v>
      </c>
    </row>
    <row r="29" spans="1:14" x14ac:dyDescent="0.25">
      <c r="A29" s="2">
        <v>29920</v>
      </c>
      <c r="B29" s="1" t="s">
        <v>134</v>
      </c>
      <c r="C29" s="1" t="s">
        <v>135</v>
      </c>
      <c r="D29" s="1" t="s">
        <v>136</v>
      </c>
      <c r="E29" s="1" t="s">
        <v>33</v>
      </c>
      <c r="F29" s="1" t="s">
        <v>137</v>
      </c>
      <c r="G29" s="1">
        <v>1</v>
      </c>
      <c r="H29" s="1" t="s">
        <v>138</v>
      </c>
      <c r="I29" s="1">
        <v>0</v>
      </c>
      <c r="J29" s="1" t="s">
        <v>23</v>
      </c>
      <c r="K29" s="1">
        <v>40000</v>
      </c>
      <c r="L29" s="1" t="s">
        <v>24</v>
      </c>
      <c r="M29" s="3" t="s">
        <v>55</v>
      </c>
      <c r="N29" s="1" t="str">
        <f>INDEX(Table3[#All], MATCH(Table13[[#This Row],[Dept_Id]], Table3[[#All],[Dept_Id]], 0), 1)</f>
        <v>Production</v>
      </c>
    </row>
    <row r="30" spans="1:14" x14ac:dyDescent="0.25">
      <c r="A30" s="2">
        <v>10019</v>
      </c>
      <c r="B30" s="1" t="s">
        <v>139</v>
      </c>
      <c r="C30" s="1" t="s">
        <v>140</v>
      </c>
      <c r="D30" s="1" t="s">
        <v>141</v>
      </c>
      <c r="E30" s="1" t="s">
        <v>13</v>
      </c>
      <c r="F30" s="1" t="s">
        <v>142</v>
      </c>
      <c r="G30" s="1">
        <v>4</v>
      </c>
      <c r="H30" s="1" t="s">
        <v>35</v>
      </c>
      <c r="I30" s="1">
        <v>0</v>
      </c>
      <c r="J30" s="1" t="s">
        <v>23</v>
      </c>
      <c r="K30" s="1">
        <v>44276</v>
      </c>
      <c r="L30" s="1" t="s">
        <v>61</v>
      </c>
      <c r="M30" s="3" t="s">
        <v>41</v>
      </c>
      <c r="N30" s="1" t="str">
        <f>INDEX(Table3[#All], MATCH(Table13[[#This Row],[Dept_Id]], Table3[[#All],[Dept_Id]], 0), 1)</f>
        <v>Research</v>
      </c>
    </row>
    <row r="31" spans="1:14" x14ac:dyDescent="0.25">
      <c r="A31" s="2">
        <v>10020</v>
      </c>
      <c r="B31" s="1" t="s">
        <v>143</v>
      </c>
      <c r="C31" s="1" t="s">
        <v>144</v>
      </c>
      <c r="D31" s="1" t="s">
        <v>145</v>
      </c>
      <c r="E31" s="1" t="s">
        <v>13</v>
      </c>
      <c r="F31" s="1" t="s">
        <v>146</v>
      </c>
      <c r="G31" s="1">
        <v>7</v>
      </c>
      <c r="H31" s="1" t="s">
        <v>35</v>
      </c>
      <c r="I31" s="1">
        <v>0</v>
      </c>
      <c r="J31" s="1" t="s">
        <v>23</v>
      </c>
      <c r="K31" s="1">
        <v>40000</v>
      </c>
      <c r="L31" s="1" t="s">
        <v>24</v>
      </c>
      <c r="M31" s="3" t="s">
        <v>55</v>
      </c>
      <c r="N31" s="1" t="str">
        <f>INDEX(Table3[#All], MATCH(Table13[[#This Row],[Dept_Id]], Table3[[#All],[Dept_Id]], 0), 1)</f>
        <v>Production</v>
      </c>
    </row>
    <row r="32" spans="1:14" x14ac:dyDescent="0.25">
      <c r="A32" s="2">
        <v>208153</v>
      </c>
      <c r="B32" s="1" t="s">
        <v>147</v>
      </c>
      <c r="C32" s="1" t="s">
        <v>148</v>
      </c>
      <c r="D32" s="1" t="s">
        <v>149</v>
      </c>
      <c r="E32" s="1" t="s">
        <v>13</v>
      </c>
      <c r="F32" s="1" t="s">
        <v>150</v>
      </c>
      <c r="G32" s="1">
        <v>8</v>
      </c>
      <c r="H32" s="1" t="s">
        <v>15</v>
      </c>
      <c r="I32" s="1">
        <v>1</v>
      </c>
      <c r="J32" s="1" t="s">
        <v>151</v>
      </c>
      <c r="K32" s="1">
        <v>50183</v>
      </c>
      <c r="L32" s="1" t="s">
        <v>17</v>
      </c>
      <c r="M32" s="3" t="s">
        <v>18</v>
      </c>
      <c r="N32" s="1" t="str">
        <f>INDEX(Table3[#All], MATCH(Table13[[#This Row],[Dept_Id]], Table3[[#All],[Dept_Id]], 0), 1)</f>
        <v>Development</v>
      </c>
    </row>
    <row r="33" spans="1:14" x14ac:dyDescent="0.25">
      <c r="A33" s="2">
        <v>10021</v>
      </c>
      <c r="B33" s="1" t="s">
        <v>152</v>
      </c>
      <c r="C33" s="1" t="s">
        <v>153</v>
      </c>
      <c r="D33" s="1" t="s">
        <v>154</v>
      </c>
      <c r="E33" s="1" t="s">
        <v>13</v>
      </c>
      <c r="F33" s="1" t="s">
        <v>155</v>
      </c>
      <c r="G33" s="1">
        <v>1</v>
      </c>
      <c r="H33" s="1" t="s">
        <v>35</v>
      </c>
      <c r="I33" s="1">
        <v>0</v>
      </c>
      <c r="J33" s="1" t="s">
        <v>23</v>
      </c>
      <c r="K33" s="1">
        <v>55025</v>
      </c>
      <c r="L33" s="1" t="s">
        <v>17</v>
      </c>
      <c r="M33" s="3" t="s">
        <v>156</v>
      </c>
      <c r="N33" s="1" t="str">
        <f>INDEX(Table3[#All], MATCH(Table13[[#This Row],[Dept_Id]], Table3[[#All],[Dept_Id]], 0), 1)</f>
        <v>Development</v>
      </c>
    </row>
    <row r="34" spans="1:14" x14ac:dyDescent="0.25">
      <c r="A34" s="2">
        <v>10022</v>
      </c>
      <c r="B34" s="1" t="s">
        <v>157</v>
      </c>
      <c r="C34" s="1" t="s">
        <v>158</v>
      </c>
      <c r="D34" s="1" t="s">
        <v>159</v>
      </c>
      <c r="E34" s="1" t="s">
        <v>13</v>
      </c>
      <c r="F34" s="1" t="s">
        <v>160</v>
      </c>
      <c r="G34" s="1">
        <v>9</v>
      </c>
      <c r="H34" s="1" t="s">
        <v>35</v>
      </c>
      <c r="I34" s="1">
        <v>1</v>
      </c>
      <c r="J34" s="1" t="s">
        <v>161</v>
      </c>
      <c r="K34" s="1">
        <v>40000</v>
      </c>
      <c r="L34" s="1" t="s">
        <v>17</v>
      </c>
      <c r="M34" s="3" t="s">
        <v>55</v>
      </c>
      <c r="N34" s="1" t="str">
        <f>INDEX(Table3[#All], MATCH(Table13[[#This Row],[Dept_Id]], Table3[[#All],[Dept_Id]], 0), 1)</f>
        <v>Development</v>
      </c>
    </row>
    <row r="35" spans="1:14" x14ac:dyDescent="0.25">
      <c r="A35" s="2">
        <v>13616</v>
      </c>
      <c r="B35" s="1" t="s">
        <v>162</v>
      </c>
      <c r="C35" s="1" t="s">
        <v>163</v>
      </c>
      <c r="D35" s="1" t="s">
        <v>164</v>
      </c>
      <c r="E35" s="1" t="s">
        <v>33</v>
      </c>
      <c r="F35" s="1" t="s">
        <v>165</v>
      </c>
      <c r="G35" s="1">
        <v>7</v>
      </c>
      <c r="H35" s="1" t="s">
        <v>15</v>
      </c>
      <c r="I35" s="1">
        <v>0</v>
      </c>
      <c r="J35" s="1" t="s">
        <v>23</v>
      </c>
      <c r="K35" s="1">
        <v>40000</v>
      </c>
      <c r="L35" s="1" t="s">
        <v>17</v>
      </c>
      <c r="M35" s="3" t="s">
        <v>18</v>
      </c>
      <c r="N35" s="1" t="str">
        <f>INDEX(Table3[#All], MATCH(Table13[[#This Row],[Dept_Id]], Table3[[#All],[Dept_Id]], 0), 1)</f>
        <v>Development</v>
      </c>
    </row>
    <row r="36" spans="1:14" x14ac:dyDescent="0.25">
      <c r="A36" s="2">
        <v>13616</v>
      </c>
      <c r="B36" s="1" t="s">
        <v>162</v>
      </c>
      <c r="C36" s="1" t="s">
        <v>163</v>
      </c>
      <c r="D36" s="1" t="s">
        <v>164</v>
      </c>
      <c r="E36" s="1" t="s">
        <v>33</v>
      </c>
      <c r="F36" s="1" t="s">
        <v>165</v>
      </c>
      <c r="G36" s="1">
        <v>7</v>
      </c>
      <c r="H36" s="1" t="s">
        <v>15</v>
      </c>
      <c r="I36" s="1">
        <v>0</v>
      </c>
      <c r="J36" s="1" t="s">
        <v>23</v>
      </c>
      <c r="K36" s="1">
        <v>40000</v>
      </c>
      <c r="L36" s="1" t="s">
        <v>61</v>
      </c>
      <c r="M36" s="3" t="s">
        <v>18</v>
      </c>
      <c r="N36" s="1" t="str">
        <f>INDEX(Table3[#All], MATCH(Table13[[#This Row],[Dept_Id]], Table3[[#All],[Dept_Id]], 0), 1)</f>
        <v>Research</v>
      </c>
    </row>
    <row r="37" spans="1:14" x14ac:dyDescent="0.25">
      <c r="A37" s="2">
        <v>10023</v>
      </c>
      <c r="B37" s="1" t="s">
        <v>166</v>
      </c>
      <c r="C37" s="1" t="s">
        <v>167</v>
      </c>
      <c r="D37" s="1" t="s">
        <v>168</v>
      </c>
      <c r="E37" s="1" t="s">
        <v>33</v>
      </c>
      <c r="F37" s="1" t="s">
        <v>169</v>
      </c>
      <c r="G37" s="1">
        <v>8</v>
      </c>
      <c r="H37" s="1" t="s">
        <v>29</v>
      </c>
      <c r="I37" s="1">
        <v>0</v>
      </c>
      <c r="J37" s="1" t="s">
        <v>23</v>
      </c>
      <c r="K37" s="1">
        <v>47883</v>
      </c>
      <c r="L37" s="1" t="s">
        <v>17</v>
      </c>
      <c r="M37" s="3" t="s">
        <v>55</v>
      </c>
      <c r="N37" s="1" t="str">
        <f>INDEX(Table3[#All], MATCH(Table13[[#This Row],[Dept_Id]], Table3[[#All],[Dept_Id]], 0), 1)</f>
        <v>Development</v>
      </c>
    </row>
    <row r="38" spans="1:14" x14ac:dyDescent="0.25">
      <c r="A38" s="2">
        <v>10024</v>
      </c>
      <c r="B38" s="1" t="s">
        <v>170</v>
      </c>
      <c r="C38" s="1" t="s">
        <v>171</v>
      </c>
      <c r="D38" s="1" t="s">
        <v>172</v>
      </c>
      <c r="E38" s="1" t="s">
        <v>33</v>
      </c>
      <c r="F38" s="1" t="s">
        <v>173</v>
      </c>
      <c r="G38" s="1">
        <v>3</v>
      </c>
      <c r="H38" s="1" t="s">
        <v>29</v>
      </c>
      <c r="I38" s="1">
        <v>0</v>
      </c>
      <c r="J38" s="1" t="s">
        <v>23</v>
      </c>
      <c r="K38" s="1">
        <v>83733</v>
      </c>
      <c r="L38" s="1" t="s">
        <v>24</v>
      </c>
      <c r="M38" s="3" t="s">
        <v>66</v>
      </c>
      <c r="N38" s="1" t="str">
        <f>INDEX(Table3[#All], MATCH(Table13[[#This Row],[Dept_Id]], Table3[[#All],[Dept_Id]], 0), 1)</f>
        <v>Production</v>
      </c>
    </row>
    <row r="39" spans="1:14" x14ac:dyDescent="0.25">
      <c r="A39" s="2">
        <v>246449</v>
      </c>
      <c r="B39" s="1" t="s">
        <v>174</v>
      </c>
      <c r="C39" s="1" t="s">
        <v>175</v>
      </c>
      <c r="D39" s="1" t="s">
        <v>176</v>
      </c>
      <c r="E39" s="1" t="s">
        <v>33</v>
      </c>
      <c r="F39" s="1" t="s">
        <v>177</v>
      </c>
      <c r="G39" s="1">
        <v>9</v>
      </c>
      <c r="H39" s="1" t="s">
        <v>15</v>
      </c>
      <c r="I39" s="1">
        <v>0</v>
      </c>
      <c r="J39" s="1" t="s">
        <v>23</v>
      </c>
      <c r="K39" s="1">
        <v>87084</v>
      </c>
      <c r="L39" s="1" t="s">
        <v>40</v>
      </c>
      <c r="M39" s="3" t="s">
        <v>41</v>
      </c>
      <c r="N39" s="1" t="str">
        <f>INDEX(Table3[#All], MATCH(Table13[[#This Row],[Dept_Id]], Table3[[#All],[Dept_Id]], 0), 1)</f>
        <v>Sales</v>
      </c>
    </row>
    <row r="40" spans="1:14" x14ac:dyDescent="0.25">
      <c r="A40" s="2">
        <v>10025</v>
      </c>
      <c r="B40" s="1" t="s">
        <v>178</v>
      </c>
      <c r="C40" s="1" t="s">
        <v>179</v>
      </c>
      <c r="D40" s="1" t="s">
        <v>180</v>
      </c>
      <c r="E40" s="1" t="s">
        <v>13</v>
      </c>
      <c r="F40" s="1" t="s">
        <v>181</v>
      </c>
      <c r="G40" s="1">
        <v>6</v>
      </c>
      <c r="H40" s="1" t="s">
        <v>15</v>
      </c>
      <c r="I40" s="1">
        <v>0</v>
      </c>
      <c r="J40" s="1" t="s">
        <v>23</v>
      </c>
      <c r="K40" s="1">
        <v>40000</v>
      </c>
      <c r="L40" s="1" t="s">
        <v>17</v>
      </c>
      <c r="M40" s="3" t="s">
        <v>156</v>
      </c>
      <c r="N40" s="1" t="str">
        <f>INDEX(Table3[#All], MATCH(Table13[[#This Row],[Dept_Id]], Table3[[#All],[Dept_Id]], 0), 1)</f>
        <v>Development</v>
      </c>
    </row>
    <row r="41" spans="1:14" x14ac:dyDescent="0.25">
      <c r="A41" s="2">
        <v>10026</v>
      </c>
      <c r="B41" s="1" t="s">
        <v>182</v>
      </c>
      <c r="C41" s="1" t="s">
        <v>183</v>
      </c>
      <c r="D41" s="1" t="s">
        <v>184</v>
      </c>
      <c r="E41" s="1" t="s">
        <v>13</v>
      </c>
      <c r="F41" s="1" t="s">
        <v>185</v>
      </c>
      <c r="G41" s="1">
        <v>1</v>
      </c>
      <c r="H41" s="1" t="s">
        <v>138</v>
      </c>
      <c r="I41" s="1">
        <v>0</v>
      </c>
      <c r="J41" s="1" t="s">
        <v>23</v>
      </c>
      <c r="K41" s="1">
        <v>47585</v>
      </c>
      <c r="L41" s="1" t="s">
        <v>24</v>
      </c>
      <c r="M41" s="3" t="s">
        <v>18</v>
      </c>
      <c r="N41" s="1" t="str">
        <f>INDEX(Table3[#All], MATCH(Table13[[#This Row],[Dept_Id]], Table3[[#All],[Dept_Id]], 0), 1)</f>
        <v>Production</v>
      </c>
    </row>
    <row r="42" spans="1:14" x14ac:dyDescent="0.25">
      <c r="A42" s="2">
        <v>21529</v>
      </c>
      <c r="B42" s="1" t="s">
        <v>186</v>
      </c>
      <c r="C42" s="1" t="s">
        <v>167</v>
      </c>
      <c r="D42" s="1" t="s">
        <v>187</v>
      </c>
      <c r="E42" s="1" t="s">
        <v>13</v>
      </c>
      <c r="F42" s="1" t="s">
        <v>188</v>
      </c>
      <c r="G42" s="1">
        <v>7</v>
      </c>
      <c r="H42" s="1" t="s">
        <v>15</v>
      </c>
      <c r="I42" s="1">
        <v>0</v>
      </c>
      <c r="J42" s="1" t="s">
        <v>23</v>
      </c>
      <c r="K42" s="1">
        <v>40000</v>
      </c>
      <c r="L42" s="1" t="s">
        <v>17</v>
      </c>
      <c r="M42" s="3" t="s">
        <v>55</v>
      </c>
      <c r="N42" s="1" t="str">
        <f>INDEX(Table3[#All], MATCH(Table13[[#This Row],[Dept_Id]], Table3[[#All],[Dept_Id]], 0), 1)</f>
        <v>Development</v>
      </c>
    </row>
    <row r="43" spans="1:14" x14ac:dyDescent="0.25">
      <c r="A43" s="2">
        <v>10027</v>
      </c>
      <c r="B43" s="1" t="s">
        <v>189</v>
      </c>
      <c r="C43" s="1" t="s">
        <v>190</v>
      </c>
      <c r="D43" s="1" t="s">
        <v>191</v>
      </c>
      <c r="E43" s="1" t="s">
        <v>33</v>
      </c>
      <c r="F43" s="1" t="s">
        <v>192</v>
      </c>
      <c r="G43" s="1">
        <v>10</v>
      </c>
      <c r="H43" s="1" t="s">
        <v>35</v>
      </c>
      <c r="I43" s="1">
        <v>0</v>
      </c>
      <c r="J43" s="1" t="s">
        <v>23</v>
      </c>
      <c r="K43" s="1">
        <v>40000</v>
      </c>
      <c r="L43" s="1" t="s">
        <v>17</v>
      </c>
      <c r="M43" s="3" t="s">
        <v>18</v>
      </c>
      <c r="N43" s="1" t="str">
        <f>INDEX(Table3[#All], MATCH(Table13[[#This Row],[Dept_Id]], Table3[[#All],[Dept_Id]], 0), 1)</f>
        <v>Development</v>
      </c>
    </row>
    <row r="44" spans="1:14" x14ac:dyDescent="0.25">
      <c r="A44" s="2">
        <v>10028</v>
      </c>
      <c r="B44" s="1" t="s">
        <v>193</v>
      </c>
      <c r="C44" s="1" t="s">
        <v>194</v>
      </c>
      <c r="D44" s="1" t="s">
        <v>195</v>
      </c>
      <c r="E44" s="1" t="s">
        <v>13</v>
      </c>
      <c r="F44" s="1" t="s">
        <v>196</v>
      </c>
      <c r="G44" s="1">
        <v>8</v>
      </c>
      <c r="H44" s="1" t="s">
        <v>35</v>
      </c>
      <c r="I44" s="1">
        <v>0</v>
      </c>
      <c r="J44" s="1" t="s">
        <v>23</v>
      </c>
      <c r="K44" s="1">
        <v>48859</v>
      </c>
      <c r="L44" s="1" t="s">
        <v>17</v>
      </c>
      <c r="M44" s="3" t="s">
        <v>55</v>
      </c>
      <c r="N44" s="1" t="str">
        <f>INDEX(Table3[#All], MATCH(Table13[[#This Row],[Dept_Id]], Table3[[#All],[Dept_Id]], 0), 1)</f>
        <v>Development</v>
      </c>
    </row>
    <row r="45" spans="1:14" x14ac:dyDescent="0.25">
      <c r="A45" s="2">
        <v>17934</v>
      </c>
      <c r="B45" s="1" t="s">
        <v>197</v>
      </c>
      <c r="C45" s="1" t="s">
        <v>198</v>
      </c>
      <c r="D45" s="1" t="s">
        <v>199</v>
      </c>
      <c r="E45" s="1" t="s">
        <v>13</v>
      </c>
      <c r="F45" s="1" t="s">
        <v>200</v>
      </c>
      <c r="G45" s="1">
        <v>7</v>
      </c>
      <c r="H45" s="1" t="s">
        <v>15</v>
      </c>
      <c r="I45" s="1">
        <v>0</v>
      </c>
      <c r="J45" s="1" t="s">
        <v>23</v>
      </c>
      <c r="K45" s="1">
        <v>48795</v>
      </c>
      <c r="L45" s="1" t="s">
        <v>17</v>
      </c>
      <c r="M45" s="3" t="s">
        <v>156</v>
      </c>
      <c r="N45" s="1" t="str">
        <f>INDEX(Table3[#All], MATCH(Table13[[#This Row],[Dept_Id]], Table3[[#All],[Dept_Id]], 0), 1)</f>
        <v>Development</v>
      </c>
    </row>
    <row r="46" spans="1:14" x14ac:dyDescent="0.25">
      <c r="A46" s="2">
        <v>10029</v>
      </c>
      <c r="B46" s="1" t="s">
        <v>201</v>
      </c>
      <c r="C46" s="1" t="s">
        <v>202</v>
      </c>
      <c r="D46" s="1" t="s">
        <v>203</v>
      </c>
      <c r="E46" s="1" t="s">
        <v>13</v>
      </c>
      <c r="F46" s="1" t="s">
        <v>204</v>
      </c>
      <c r="G46" s="1">
        <v>6</v>
      </c>
      <c r="H46" s="1" t="s">
        <v>15</v>
      </c>
      <c r="I46" s="1">
        <v>0</v>
      </c>
      <c r="J46" s="1" t="s">
        <v>23</v>
      </c>
      <c r="K46" s="1">
        <v>63163</v>
      </c>
      <c r="L46" s="1" t="s">
        <v>24</v>
      </c>
      <c r="M46" s="3" t="s">
        <v>18</v>
      </c>
      <c r="N46" s="1" t="str">
        <f>INDEX(Table3[#All], MATCH(Table13[[#This Row],[Dept_Id]], Table3[[#All],[Dept_Id]], 0), 1)</f>
        <v>Production</v>
      </c>
    </row>
    <row r="47" spans="1:14" x14ac:dyDescent="0.25">
      <c r="A47" s="2">
        <v>10029</v>
      </c>
      <c r="B47" s="1" t="s">
        <v>201</v>
      </c>
      <c r="C47" s="1" t="s">
        <v>202</v>
      </c>
      <c r="D47" s="1" t="s">
        <v>203</v>
      </c>
      <c r="E47" s="1" t="s">
        <v>13</v>
      </c>
      <c r="F47" s="1" t="s">
        <v>204</v>
      </c>
      <c r="G47" s="1">
        <v>6</v>
      </c>
      <c r="H47" s="1" t="s">
        <v>15</v>
      </c>
      <c r="I47" s="1">
        <v>0</v>
      </c>
      <c r="J47" s="1" t="s">
        <v>23</v>
      </c>
      <c r="K47" s="1">
        <v>63163</v>
      </c>
      <c r="L47" s="1" t="s">
        <v>71</v>
      </c>
      <c r="M47" s="3" t="s">
        <v>18</v>
      </c>
      <c r="N47" s="1" t="str">
        <f>INDEX(Table3[#All], MATCH(Table13[[#This Row],[Dept_Id]], Table3[[#All],[Dept_Id]], 0), 1)</f>
        <v>Quality Management</v>
      </c>
    </row>
    <row r="48" spans="1:14" x14ac:dyDescent="0.25">
      <c r="A48" s="2">
        <v>48085</v>
      </c>
      <c r="B48" s="1" t="s">
        <v>205</v>
      </c>
      <c r="C48" s="1" t="s">
        <v>206</v>
      </c>
      <c r="D48" s="1" t="s">
        <v>207</v>
      </c>
      <c r="E48" s="1" t="s">
        <v>13</v>
      </c>
      <c r="F48" s="1" t="s">
        <v>208</v>
      </c>
      <c r="G48" s="1">
        <v>9</v>
      </c>
      <c r="H48" s="1" t="s">
        <v>35</v>
      </c>
      <c r="I48" s="1">
        <v>0</v>
      </c>
      <c r="J48" s="1" t="s">
        <v>23</v>
      </c>
      <c r="K48" s="1">
        <v>63016</v>
      </c>
      <c r="L48" s="1" t="s">
        <v>108</v>
      </c>
      <c r="M48" s="3" t="s">
        <v>41</v>
      </c>
      <c r="N48" s="1" t="str">
        <f>INDEX(Table3[#All], MATCH(Table13[[#This Row],[Dept_Id]], Table3[[#All],[Dept_Id]], 0), 1)</f>
        <v>Finance</v>
      </c>
    </row>
    <row r="49" spans="1:14" x14ac:dyDescent="0.25">
      <c r="A49" s="2">
        <v>10030</v>
      </c>
      <c r="B49" s="1" t="s">
        <v>209</v>
      </c>
      <c r="C49" s="1" t="s">
        <v>210</v>
      </c>
      <c r="D49" s="1" t="s">
        <v>211</v>
      </c>
      <c r="E49" s="1" t="s">
        <v>13</v>
      </c>
      <c r="F49" s="1" t="s">
        <v>212</v>
      </c>
      <c r="G49" s="1">
        <v>10</v>
      </c>
      <c r="H49" s="1" t="s">
        <v>29</v>
      </c>
      <c r="I49" s="1">
        <v>0</v>
      </c>
      <c r="J49" s="1" t="s">
        <v>23</v>
      </c>
      <c r="K49" s="1">
        <v>66956</v>
      </c>
      <c r="L49" s="1" t="s">
        <v>24</v>
      </c>
      <c r="M49" s="3" t="s">
        <v>18</v>
      </c>
      <c r="N49" s="1" t="str">
        <f>INDEX(Table3[#All], MATCH(Table13[[#This Row],[Dept_Id]], Table3[[#All],[Dept_Id]], 0), 1)</f>
        <v>Production</v>
      </c>
    </row>
    <row r="50" spans="1:14" x14ac:dyDescent="0.25">
      <c r="A50" s="2">
        <v>10031</v>
      </c>
      <c r="B50" s="1" t="s">
        <v>213</v>
      </c>
      <c r="C50" s="1" t="s">
        <v>214</v>
      </c>
      <c r="D50" s="1" t="s">
        <v>215</v>
      </c>
      <c r="E50" s="1" t="s">
        <v>13</v>
      </c>
      <c r="F50" s="1" t="s">
        <v>216</v>
      </c>
      <c r="G50" s="1">
        <v>2</v>
      </c>
      <c r="H50" s="1" t="s">
        <v>15</v>
      </c>
      <c r="I50" s="1">
        <v>1</v>
      </c>
      <c r="J50" s="1" t="s">
        <v>217</v>
      </c>
      <c r="K50" s="1">
        <v>40000</v>
      </c>
      <c r="L50" s="1" t="s">
        <v>17</v>
      </c>
      <c r="M50" s="3" t="s">
        <v>18</v>
      </c>
      <c r="N50" s="1" t="str">
        <f>INDEX(Table3[#All], MATCH(Table13[[#This Row],[Dept_Id]], Table3[[#All],[Dept_Id]], 0), 1)</f>
        <v>Development</v>
      </c>
    </row>
    <row r="51" spans="1:14" x14ac:dyDescent="0.25">
      <c r="A51" s="2">
        <v>239838</v>
      </c>
      <c r="B51" s="1" t="s">
        <v>218</v>
      </c>
      <c r="C51" s="1" t="s">
        <v>219</v>
      </c>
      <c r="D51" s="1" t="s">
        <v>220</v>
      </c>
      <c r="E51" s="1" t="s">
        <v>13</v>
      </c>
      <c r="F51" s="1" t="s">
        <v>221</v>
      </c>
      <c r="G51" s="1">
        <v>3</v>
      </c>
      <c r="H51" s="1" t="s">
        <v>29</v>
      </c>
      <c r="I51" s="1">
        <v>0</v>
      </c>
      <c r="J51" s="1" t="s">
        <v>23</v>
      </c>
      <c r="K51" s="1">
        <v>57715</v>
      </c>
      <c r="L51" s="1" t="s">
        <v>24</v>
      </c>
      <c r="M51" s="3" t="s">
        <v>55</v>
      </c>
      <c r="N51" s="1" t="str">
        <f>INDEX(Table3[#All], MATCH(Table13[[#This Row],[Dept_Id]], Table3[[#All],[Dept_Id]], 0), 1)</f>
        <v>Production</v>
      </c>
    </row>
    <row r="52" spans="1:14" x14ac:dyDescent="0.25">
      <c r="A52" s="2">
        <v>10032</v>
      </c>
      <c r="B52" s="1" t="s">
        <v>222</v>
      </c>
      <c r="C52" s="1" t="s">
        <v>223</v>
      </c>
      <c r="D52" s="1" t="s">
        <v>191</v>
      </c>
      <c r="E52" s="1" t="s">
        <v>33</v>
      </c>
      <c r="F52" s="1" t="s">
        <v>224</v>
      </c>
      <c r="G52" s="1">
        <v>9</v>
      </c>
      <c r="H52" s="1" t="s">
        <v>15</v>
      </c>
      <c r="I52" s="1">
        <v>0</v>
      </c>
      <c r="J52" s="1" t="s">
        <v>23</v>
      </c>
      <c r="K52" s="1">
        <v>48426</v>
      </c>
      <c r="L52" s="1" t="s">
        <v>24</v>
      </c>
      <c r="M52" s="3" t="s">
        <v>18</v>
      </c>
      <c r="N52" s="1" t="str">
        <f>INDEX(Table3[#All], MATCH(Table13[[#This Row],[Dept_Id]], Table3[[#All],[Dept_Id]], 0), 1)</f>
        <v>Production</v>
      </c>
    </row>
    <row r="53" spans="1:14" x14ac:dyDescent="0.25">
      <c r="A53" s="2">
        <v>10033</v>
      </c>
      <c r="B53" s="1" t="s">
        <v>225</v>
      </c>
      <c r="C53" s="1" t="s">
        <v>226</v>
      </c>
      <c r="D53" s="1" t="s">
        <v>227</v>
      </c>
      <c r="E53" s="1" t="s">
        <v>13</v>
      </c>
      <c r="F53" s="1" t="s">
        <v>228</v>
      </c>
      <c r="G53" s="1">
        <v>9</v>
      </c>
      <c r="H53" s="1" t="s">
        <v>29</v>
      </c>
      <c r="I53" s="1">
        <v>0</v>
      </c>
      <c r="J53" s="1" t="s">
        <v>23</v>
      </c>
      <c r="K53" s="1">
        <v>51258</v>
      </c>
      <c r="L53" s="1" t="s">
        <v>71</v>
      </c>
      <c r="M53" s="3" t="s">
        <v>156</v>
      </c>
      <c r="N53" s="1" t="str">
        <f>INDEX(Table3[#All], MATCH(Table13[[#This Row],[Dept_Id]], Table3[[#All],[Dept_Id]], 0), 1)</f>
        <v>Quality Management</v>
      </c>
    </row>
    <row r="54" spans="1:14" x14ac:dyDescent="0.25">
      <c r="A54" s="2">
        <v>240129</v>
      </c>
      <c r="B54" s="1" t="s">
        <v>229</v>
      </c>
      <c r="C54" s="1" t="s">
        <v>230</v>
      </c>
      <c r="D54" s="1" t="s">
        <v>231</v>
      </c>
      <c r="E54" s="1" t="s">
        <v>13</v>
      </c>
      <c r="F54" s="1" t="s">
        <v>232</v>
      </c>
      <c r="G54" s="1">
        <v>10</v>
      </c>
      <c r="H54" s="1" t="s">
        <v>15</v>
      </c>
      <c r="I54" s="1">
        <v>0</v>
      </c>
      <c r="J54" s="1" t="s">
        <v>23</v>
      </c>
      <c r="K54" s="1">
        <v>43548</v>
      </c>
      <c r="L54" s="1" t="s">
        <v>71</v>
      </c>
      <c r="M54" s="3" t="s">
        <v>156</v>
      </c>
      <c r="N54" s="1" t="str">
        <f>INDEX(Table3[#All], MATCH(Table13[[#This Row],[Dept_Id]], Table3[[#All],[Dept_Id]], 0), 1)</f>
        <v>Quality Management</v>
      </c>
    </row>
    <row r="55" spans="1:14" x14ac:dyDescent="0.25">
      <c r="A55" s="2">
        <v>10034</v>
      </c>
      <c r="B55" s="1" t="s">
        <v>233</v>
      </c>
      <c r="C55" s="1" t="s">
        <v>234</v>
      </c>
      <c r="D55" s="1" t="s">
        <v>235</v>
      </c>
      <c r="E55" s="1" t="s">
        <v>13</v>
      </c>
      <c r="F55" s="1" t="s">
        <v>236</v>
      </c>
      <c r="G55" s="1">
        <v>8</v>
      </c>
      <c r="H55" s="1" t="s">
        <v>15</v>
      </c>
      <c r="I55" s="1">
        <v>0</v>
      </c>
      <c r="J55" s="1" t="s">
        <v>23</v>
      </c>
      <c r="K55" s="1">
        <v>47561</v>
      </c>
      <c r="L55" s="1" t="s">
        <v>40</v>
      </c>
      <c r="M55" s="3" t="s">
        <v>41</v>
      </c>
      <c r="N55" s="1" t="str">
        <f>INDEX(Table3[#All], MATCH(Table13[[#This Row],[Dept_Id]], Table3[[#All],[Dept_Id]], 0), 1)</f>
        <v>Sales</v>
      </c>
    </row>
    <row r="56" spans="1:14" x14ac:dyDescent="0.25">
      <c r="A56" s="2">
        <v>10035</v>
      </c>
      <c r="B56" s="1" t="s">
        <v>237</v>
      </c>
      <c r="C56" s="1" t="s">
        <v>238</v>
      </c>
      <c r="D56" s="1" t="s">
        <v>239</v>
      </c>
      <c r="E56" s="1" t="s">
        <v>13</v>
      </c>
      <c r="F56" s="1" t="s">
        <v>240</v>
      </c>
      <c r="G56" s="1">
        <v>6</v>
      </c>
      <c r="H56" s="1" t="s">
        <v>35</v>
      </c>
      <c r="I56" s="1">
        <v>0</v>
      </c>
      <c r="J56" s="1" t="s">
        <v>23</v>
      </c>
      <c r="K56" s="1">
        <v>41538</v>
      </c>
      <c r="L56" s="1" t="s">
        <v>24</v>
      </c>
      <c r="M56" s="3" t="s">
        <v>18</v>
      </c>
      <c r="N56" s="1" t="str">
        <f>INDEX(Table3[#All], MATCH(Table13[[#This Row],[Dept_Id]], Table3[[#All],[Dept_Id]], 0), 1)</f>
        <v>Production</v>
      </c>
    </row>
    <row r="57" spans="1:14" x14ac:dyDescent="0.25">
      <c r="A57" s="2">
        <v>205246</v>
      </c>
      <c r="B57" s="1" t="s">
        <v>241</v>
      </c>
      <c r="C57" s="1" t="s">
        <v>242</v>
      </c>
      <c r="D57" s="1" t="s">
        <v>243</v>
      </c>
      <c r="E57" s="1" t="s">
        <v>33</v>
      </c>
      <c r="F57" s="1" t="s">
        <v>244</v>
      </c>
      <c r="G57" s="1">
        <v>8</v>
      </c>
      <c r="H57" s="1" t="s">
        <v>35</v>
      </c>
      <c r="I57" s="1">
        <v>0</v>
      </c>
      <c r="J57" s="1" t="s">
        <v>23</v>
      </c>
      <c r="K57" s="1">
        <v>80252</v>
      </c>
      <c r="L57" s="1" t="s">
        <v>40</v>
      </c>
      <c r="M57" s="3" t="s">
        <v>102</v>
      </c>
      <c r="N57" s="1" t="str">
        <f>INDEX(Table3[#All], MATCH(Table13[[#This Row],[Dept_Id]], Table3[[#All],[Dept_Id]], 0), 1)</f>
        <v>Sales</v>
      </c>
    </row>
    <row r="58" spans="1:14" x14ac:dyDescent="0.25">
      <c r="A58" s="2">
        <v>10036</v>
      </c>
      <c r="B58" s="1" t="s">
        <v>245</v>
      </c>
      <c r="C58" s="1" t="s">
        <v>246</v>
      </c>
      <c r="D58" s="1" t="s">
        <v>247</v>
      </c>
      <c r="E58" s="1" t="s">
        <v>13</v>
      </c>
      <c r="F58" s="1" t="s">
        <v>248</v>
      </c>
      <c r="G58" s="1">
        <v>5</v>
      </c>
      <c r="H58" s="1" t="s">
        <v>15</v>
      </c>
      <c r="I58" s="1">
        <v>0</v>
      </c>
      <c r="J58" s="1" t="s">
        <v>23</v>
      </c>
      <c r="K58" s="1">
        <v>42819</v>
      </c>
      <c r="L58" s="1" t="s">
        <v>46</v>
      </c>
      <c r="M58" s="3" t="s">
        <v>102</v>
      </c>
      <c r="N58" s="1" t="str">
        <f>INDEX(Table3[#All], MATCH(Table13[[#This Row],[Dept_Id]], Table3[[#All],[Dept_Id]], 0), 1)</f>
        <v>Human Resources</v>
      </c>
    </row>
    <row r="59" spans="1:14" x14ac:dyDescent="0.25">
      <c r="A59" s="2">
        <v>10037</v>
      </c>
      <c r="B59" s="1" t="s">
        <v>249</v>
      </c>
      <c r="C59" s="1" t="s">
        <v>250</v>
      </c>
      <c r="D59" s="1" t="s">
        <v>251</v>
      </c>
      <c r="E59" s="1" t="s">
        <v>13</v>
      </c>
      <c r="F59" s="1" t="s">
        <v>252</v>
      </c>
      <c r="G59" s="1">
        <v>4</v>
      </c>
      <c r="H59" s="1" t="s">
        <v>29</v>
      </c>
      <c r="I59" s="1">
        <v>0</v>
      </c>
      <c r="J59" s="1" t="s">
        <v>23</v>
      </c>
      <c r="K59" s="1">
        <v>40000</v>
      </c>
      <c r="L59" s="1" t="s">
        <v>17</v>
      </c>
      <c r="M59" s="3" t="s">
        <v>18</v>
      </c>
      <c r="N59" s="1" t="str">
        <f>INDEX(Table3[#All], MATCH(Table13[[#This Row],[Dept_Id]], Table3[[#All],[Dept_Id]], 0), 1)</f>
        <v>Development</v>
      </c>
    </row>
    <row r="60" spans="1:14" x14ac:dyDescent="0.25">
      <c r="A60" s="2">
        <v>10038</v>
      </c>
      <c r="B60" s="1" t="s">
        <v>253</v>
      </c>
      <c r="C60" s="1" t="s">
        <v>254</v>
      </c>
      <c r="D60" s="1" t="s">
        <v>255</v>
      </c>
      <c r="E60" s="1" t="s">
        <v>13</v>
      </c>
      <c r="F60" s="1" t="s">
        <v>256</v>
      </c>
      <c r="G60" s="1">
        <v>5</v>
      </c>
      <c r="H60" s="1" t="s">
        <v>29</v>
      </c>
      <c r="I60" s="1">
        <v>0</v>
      </c>
      <c r="J60" s="1" t="s">
        <v>23</v>
      </c>
      <c r="K60" s="1">
        <v>40000</v>
      </c>
      <c r="L60" s="1" t="s">
        <v>89</v>
      </c>
      <c r="M60" s="3" t="s">
        <v>41</v>
      </c>
      <c r="N60" s="1" t="str">
        <f>INDEX(Table3[#All], MATCH(Table13[[#This Row],[Dept_Id]], Table3[[#All],[Dept_Id]], 0), 1)</f>
        <v>Customer Service</v>
      </c>
    </row>
    <row r="61" spans="1:14" x14ac:dyDescent="0.25">
      <c r="A61" s="2">
        <v>10039</v>
      </c>
      <c r="B61" s="1" t="s">
        <v>257</v>
      </c>
      <c r="C61" s="1" t="s">
        <v>258</v>
      </c>
      <c r="D61" s="1" t="s">
        <v>259</v>
      </c>
      <c r="E61" s="1" t="s">
        <v>13</v>
      </c>
      <c r="F61" s="1" t="s">
        <v>260</v>
      </c>
      <c r="G61" s="1">
        <v>1</v>
      </c>
      <c r="H61" s="1" t="s">
        <v>35</v>
      </c>
      <c r="I61" s="1">
        <v>0</v>
      </c>
      <c r="J61" s="1" t="s">
        <v>23</v>
      </c>
      <c r="K61" s="1">
        <v>40000</v>
      </c>
      <c r="L61" s="1" t="s">
        <v>46</v>
      </c>
      <c r="M61" s="3" t="s">
        <v>41</v>
      </c>
      <c r="N61" s="1" t="str">
        <f>INDEX(Table3[#All], MATCH(Table13[[#This Row],[Dept_Id]], Table3[[#All],[Dept_Id]], 0), 1)</f>
        <v>Human Resources</v>
      </c>
    </row>
    <row r="62" spans="1:14" x14ac:dyDescent="0.25">
      <c r="A62" s="2">
        <v>424270</v>
      </c>
      <c r="B62" s="1" t="s">
        <v>261</v>
      </c>
      <c r="C62" s="1" t="s">
        <v>262</v>
      </c>
      <c r="D62" s="1" t="s">
        <v>263</v>
      </c>
      <c r="E62" s="1" t="s">
        <v>33</v>
      </c>
      <c r="F62" s="1" t="s">
        <v>264</v>
      </c>
      <c r="G62" s="1">
        <v>8</v>
      </c>
      <c r="H62" s="1" t="s">
        <v>29</v>
      </c>
      <c r="I62" s="1">
        <v>0</v>
      </c>
      <c r="J62" s="1" t="s">
        <v>23</v>
      </c>
      <c r="K62" s="1">
        <v>60678</v>
      </c>
      <c r="L62" s="1" t="s">
        <v>108</v>
      </c>
      <c r="M62" s="3" t="s">
        <v>41</v>
      </c>
      <c r="N62" s="1" t="str">
        <f>INDEX(Table3[#All], MATCH(Table13[[#This Row],[Dept_Id]], Table3[[#All],[Dept_Id]], 0), 1)</f>
        <v>Finance</v>
      </c>
    </row>
    <row r="63" spans="1:14" x14ac:dyDescent="0.25">
      <c r="A63" s="2">
        <v>424270</v>
      </c>
      <c r="B63" s="1" t="s">
        <v>261</v>
      </c>
      <c r="C63" s="1" t="s">
        <v>262</v>
      </c>
      <c r="D63" s="1" t="s">
        <v>263</v>
      </c>
      <c r="E63" s="1" t="s">
        <v>33</v>
      </c>
      <c r="F63" s="1" t="s">
        <v>264</v>
      </c>
      <c r="G63" s="1">
        <v>8</v>
      </c>
      <c r="H63" s="1" t="s">
        <v>29</v>
      </c>
      <c r="I63" s="1">
        <v>0</v>
      </c>
      <c r="J63" s="1" t="s">
        <v>23</v>
      </c>
      <c r="K63" s="1">
        <v>60678</v>
      </c>
      <c r="L63" s="1" t="s">
        <v>40</v>
      </c>
      <c r="M63" s="3" t="s">
        <v>41</v>
      </c>
      <c r="N63" s="1" t="str">
        <f>INDEX(Table3[#All], MATCH(Table13[[#This Row],[Dept_Id]], Table3[[#All],[Dept_Id]], 0), 1)</f>
        <v>Sales</v>
      </c>
    </row>
    <row r="64" spans="1:14" x14ac:dyDescent="0.25">
      <c r="A64" s="2">
        <v>10040</v>
      </c>
      <c r="B64" s="1" t="s">
        <v>265</v>
      </c>
      <c r="C64" s="1" t="s">
        <v>266</v>
      </c>
      <c r="D64" s="1" t="s">
        <v>267</v>
      </c>
      <c r="E64" s="1" t="s">
        <v>33</v>
      </c>
      <c r="F64" s="1" t="s">
        <v>129</v>
      </c>
      <c r="G64" s="1">
        <v>6</v>
      </c>
      <c r="H64" s="1" t="s">
        <v>29</v>
      </c>
      <c r="I64" s="1">
        <v>0</v>
      </c>
      <c r="J64" s="1" t="s">
        <v>23</v>
      </c>
      <c r="K64" s="1">
        <v>52153</v>
      </c>
      <c r="L64" s="1" t="s">
        <v>17</v>
      </c>
      <c r="M64" s="3" t="s">
        <v>18</v>
      </c>
      <c r="N64" s="1" t="str">
        <f>INDEX(Table3[#All], MATCH(Table13[[#This Row],[Dept_Id]], Table3[[#All],[Dept_Id]], 0), 1)</f>
        <v>Development</v>
      </c>
    </row>
    <row r="65" spans="1:14" x14ac:dyDescent="0.25">
      <c r="A65" s="2">
        <v>10040</v>
      </c>
      <c r="B65" s="1" t="s">
        <v>265</v>
      </c>
      <c r="C65" s="1" t="s">
        <v>266</v>
      </c>
      <c r="D65" s="1" t="s">
        <v>267</v>
      </c>
      <c r="E65" s="1" t="s">
        <v>33</v>
      </c>
      <c r="F65" s="1" t="s">
        <v>129</v>
      </c>
      <c r="G65" s="1">
        <v>6</v>
      </c>
      <c r="H65" s="1" t="s">
        <v>29</v>
      </c>
      <c r="I65" s="1">
        <v>0</v>
      </c>
      <c r="J65" s="1" t="s">
        <v>23</v>
      </c>
      <c r="K65" s="1">
        <v>52153</v>
      </c>
      <c r="L65" s="1" t="s">
        <v>61</v>
      </c>
      <c r="M65" s="3" t="s">
        <v>18</v>
      </c>
      <c r="N65" s="1" t="str">
        <f>INDEX(Table3[#All], MATCH(Table13[[#This Row],[Dept_Id]], Table3[[#All],[Dept_Id]], 0), 1)</f>
        <v>Research</v>
      </c>
    </row>
    <row r="66" spans="1:14" x14ac:dyDescent="0.25">
      <c r="A66" s="2">
        <v>71530</v>
      </c>
      <c r="B66" s="1" t="s">
        <v>268</v>
      </c>
      <c r="C66" s="1" t="s">
        <v>206</v>
      </c>
      <c r="D66" s="1" t="s">
        <v>269</v>
      </c>
      <c r="E66" s="1" t="s">
        <v>13</v>
      </c>
      <c r="F66" s="1" t="s">
        <v>270</v>
      </c>
      <c r="G66" s="1">
        <v>5</v>
      </c>
      <c r="H66" s="1" t="s">
        <v>29</v>
      </c>
      <c r="I66" s="1">
        <v>0</v>
      </c>
      <c r="J66" s="1" t="s">
        <v>23</v>
      </c>
      <c r="K66" s="1">
        <v>69148</v>
      </c>
      <c r="L66" s="1" t="s">
        <v>17</v>
      </c>
      <c r="M66" s="3" t="s">
        <v>18</v>
      </c>
      <c r="N66" s="1" t="str">
        <f>INDEX(Table3[#All], MATCH(Table13[[#This Row],[Dept_Id]], Table3[[#All],[Dept_Id]], 0), 1)</f>
        <v>Development</v>
      </c>
    </row>
    <row r="67" spans="1:14" x14ac:dyDescent="0.25">
      <c r="A67" s="2">
        <v>10041</v>
      </c>
      <c r="B67" s="1" t="s">
        <v>271</v>
      </c>
      <c r="C67" s="1" t="s">
        <v>272</v>
      </c>
      <c r="D67" s="1" t="s">
        <v>273</v>
      </c>
      <c r="E67" s="1" t="s">
        <v>33</v>
      </c>
      <c r="F67" s="1" t="s">
        <v>274</v>
      </c>
      <c r="G67" s="1">
        <v>7</v>
      </c>
      <c r="H67" s="1" t="s">
        <v>29</v>
      </c>
      <c r="I67" s="1">
        <v>0</v>
      </c>
      <c r="J67" s="1" t="s">
        <v>23</v>
      </c>
      <c r="K67" s="1">
        <v>56893</v>
      </c>
      <c r="L67" s="1" t="s">
        <v>40</v>
      </c>
      <c r="M67" s="3" t="s">
        <v>41</v>
      </c>
      <c r="N67" s="1" t="str">
        <f>INDEX(Table3[#All], MATCH(Table13[[#This Row],[Dept_Id]], Table3[[#All],[Dept_Id]], 0), 1)</f>
        <v>Sales</v>
      </c>
    </row>
    <row r="68" spans="1:14" x14ac:dyDescent="0.25">
      <c r="A68" s="2">
        <v>10042</v>
      </c>
      <c r="B68" s="1" t="s">
        <v>275</v>
      </c>
      <c r="C68" s="1" t="s">
        <v>276</v>
      </c>
      <c r="D68" s="1" t="s">
        <v>277</v>
      </c>
      <c r="E68" s="1" t="s">
        <v>33</v>
      </c>
      <c r="F68" s="1" t="s">
        <v>278</v>
      </c>
      <c r="G68" s="1">
        <v>4</v>
      </c>
      <c r="H68" s="1" t="s">
        <v>35</v>
      </c>
      <c r="I68" s="1">
        <v>0</v>
      </c>
      <c r="J68" s="1" t="s">
        <v>23</v>
      </c>
      <c r="K68" s="1">
        <v>81662</v>
      </c>
      <c r="L68" s="1" t="s">
        <v>108</v>
      </c>
      <c r="M68" s="3" t="s">
        <v>41</v>
      </c>
      <c r="N68" s="1" t="str">
        <f>INDEX(Table3[#All], MATCH(Table13[[#This Row],[Dept_Id]], Table3[[#All],[Dept_Id]], 0), 1)</f>
        <v>Finance</v>
      </c>
    </row>
    <row r="69" spans="1:14" x14ac:dyDescent="0.25">
      <c r="A69" s="2">
        <v>427958</v>
      </c>
      <c r="B69" s="1" t="s">
        <v>279</v>
      </c>
      <c r="C69" s="1" t="s">
        <v>280</v>
      </c>
      <c r="D69" s="1" t="s">
        <v>281</v>
      </c>
      <c r="E69" s="1" t="s">
        <v>33</v>
      </c>
      <c r="F69" s="1" t="s">
        <v>282</v>
      </c>
      <c r="G69" s="1">
        <v>10</v>
      </c>
      <c r="H69" s="1" t="s">
        <v>15</v>
      </c>
      <c r="I69" s="1">
        <v>0</v>
      </c>
      <c r="J69" s="1" t="s">
        <v>23</v>
      </c>
      <c r="K69" s="1">
        <v>63377</v>
      </c>
      <c r="L69" s="1" t="s">
        <v>125</v>
      </c>
      <c r="M69" s="3" t="s">
        <v>41</v>
      </c>
      <c r="N69" s="1" t="str">
        <f>INDEX(Table3[#All], MATCH(Table13[[#This Row],[Dept_Id]], Table3[[#All],[Dept_Id]], 0), 1)</f>
        <v>Marketing</v>
      </c>
    </row>
    <row r="70" spans="1:14" x14ac:dyDescent="0.25">
      <c r="A70" s="2">
        <v>10043</v>
      </c>
      <c r="B70" s="1" t="s">
        <v>283</v>
      </c>
      <c r="C70" s="1" t="s">
        <v>284</v>
      </c>
      <c r="D70" s="1" t="s">
        <v>285</v>
      </c>
      <c r="E70" s="1" t="s">
        <v>13</v>
      </c>
      <c r="F70" s="1" t="s">
        <v>286</v>
      </c>
      <c r="G70" s="1">
        <v>6</v>
      </c>
      <c r="H70" s="1" t="s">
        <v>15</v>
      </c>
      <c r="I70" s="1">
        <v>0</v>
      </c>
      <c r="J70" s="1" t="s">
        <v>23</v>
      </c>
      <c r="K70" s="1">
        <v>49324</v>
      </c>
      <c r="L70" s="1" t="s">
        <v>17</v>
      </c>
      <c r="M70" s="3" t="s">
        <v>18</v>
      </c>
      <c r="N70" s="1" t="str">
        <f>INDEX(Table3[#All], MATCH(Table13[[#This Row],[Dept_Id]], Table3[[#All],[Dept_Id]], 0), 1)</f>
        <v>Development</v>
      </c>
    </row>
    <row r="71" spans="1:14" x14ac:dyDescent="0.25">
      <c r="A71" s="2">
        <v>10044</v>
      </c>
      <c r="B71" s="1" t="s">
        <v>287</v>
      </c>
      <c r="C71" s="1" t="s">
        <v>288</v>
      </c>
      <c r="D71" s="1" t="s">
        <v>289</v>
      </c>
      <c r="E71" s="1" t="s">
        <v>33</v>
      </c>
      <c r="F71" s="1" t="s">
        <v>290</v>
      </c>
      <c r="G71" s="1">
        <v>1</v>
      </c>
      <c r="H71" s="1" t="s">
        <v>15</v>
      </c>
      <c r="I71" s="1">
        <v>0</v>
      </c>
      <c r="J71" s="1" t="s">
        <v>23</v>
      </c>
      <c r="K71" s="1">
        <v>40919</v>
      </c>
      <c r="L71" s="1" t="s">
        <v>24</v>
      </c>
      <c r="M71" s="3" t="s">
        <v>156</v>
      </c>
      <c r="N71" s="1" t="str">
        <f>INDEX(Table3[#All], MATCH(Table13[[#This Row],[Dept_Id]], Table3[[#All],[Dept_Id]], 0), 1)</f>
        <v>Production</v>
      </c>
    </row>
    <row r="72" spans="1:14" x14ac:dyDescent="0.25">
      <c r="A72" s="2">
        <v>280408</v>
      </c>
      <c r="B72" s="1" t="s">
        <v>291</v>
      </c>
      <c r="C72" s="1" t="s">
        <v>292</v>
      </c>
      <c r="D72" s="1" t="s">
        <v>293</v>
      </c>
      <c r="E72" s="1" t="s">
        <v>13</v>
      </c>
      <c r="F72" s="1" t="s">
        <v>294</v>
      </c>
      <c r="G72" s="1">
        <v>7</v>
      </c>
      <c r="H72" s="1" t="s">
        <v>29</v>
      </c>
      <c r="I72" s="1">
        <v>0</v>
      </c>
      <c r="J72" s="1" t="s">
        <v>23</v>
      </c>
      <c r="K72" s="1">
        <v>75963</v>
      </c>
      <c r="L72" s="1" t="s">
        <v>40</v>
      </c>
      <c r="M72" s="3" t="s">
        <v>41</v>
      </c>
      <c r="N72" s="1" t="str">
        <f>INDEX(Table3[#All], MATCH(Table13[[#This Row],[Dept_Id]], Table3[[#All],[Dept_Id]], 0), 1)</f>
        <v>Sales</v>
      </c>
    </row>
    <row r="73" spans="1:14" x14ac:dyDescent="0.25">
      <c r="A73" s="2">
        <v>10045</v>
      </c>
      <c r="B73" s="1" t="s">
        <v>295</v>
      </c>
      <c r="C73" s="1" t="s">
        <v>296</v>
      </c>
      <c r="D73" s="1" t="s">
        <v>297</v>
      </c>
      <c r="E73" s="1" t="s">
        <v>13</v>
      </c>
      <c r="F73" s="1" t="s">
        <v>298</v>
      </c>
      <c r="G73" s="1">
        <v>5</v>
      </c>
      <c r="H73" s="1" t="s">
        <v>15</v>
      </c>
      <c r="I73" s="1">
        <v>0</v>
      </c>
      <c r="J73" s="1" t="s">
        <v>23</v>
      </c>
      <c r="K73" s="1">
        <v>41971</v>
      </c>
      <c r="L73" s="1" t="s">
        <v>24</v>
      </c>
      <c r="M73" s="3" t="s">
        <v>55</v>
      </c>
      <c r="N73" s="1" t="str">
        <f>INDEX(Table3[#All], MATCH(Table13[[#This Row],[Dept_Id]], Table3[[#All],[Dept_Id]], 0), 1)</f>
        <v>Production</v>
      </c>
    </row>
    <row r="74" spans="1:14" x14ac:dyDescent="0.25">
      <c r="A74" s="2">
        <v>10046</v>
      </c>
      <c r="B74" s="1" t="s">
        <v>299</v>
      </c>
      <c r="C74" s="1" t="s">
        <v>300</v>
      </c>
      <c r="D74" s="1" t="s">
        <v>301</v>
      </c>
      <c r="E74" s="1" t="s">
        <v>13</v>
      </c>
      <c r="F74" s="1" t="s">
        <v>302</v>
      </c>
      <c r="G74" s="1">
        <v>1</v>
      </c>
      <c r="H74" s="1" t="s">
        <v>35</v>
      </c>
      <c r="I74" s="1">
        <v>0</v>
      </c>
      <c r="J74" s="1" t="s">
        <v>23</v>
      </c>
      <c r="K74" s="1">
        <v>40000</v>
      </c>
      <c r="L74" s="1" t="s">
        <v>61</v>
      </c>
      <c r="M74" s="3" t="s">
        <v>41</v>
      </c>
      <c r="N74" s="1" t="str">
        <f>INDEX(Table3[#All], MATCH(Table13[[#This Row],[Dept_Id]], Table3[[#All],[Dept_Id]], 0), 1)</f>
        <v>Research</v>
      </c>
    </row>
    <row r="75" spans="1:14" x14ac:dyDescent="0.25">
      <c r="A75" s="2">
        <v>104639</v>
      </c>
      <c r="B75" s="1" t="s">
        <v>303</v>
      </c>
      <c r="C75" s="1" t="s">
        <v>304</v>
      </c>
      <c r="D75" s="1" t="s">
        <v>305</v>
      </c>
      <c r="E75" s="1" t="s">
        <v>33</v>
      </c>
      <c r="F75" s="1" t="s">
        <v>306</v>
      </c>
      <c r="G75" s="1">
        <v>6</v>
      </c>
      <c r="H75" s="1" t="s">
        <v>35</v>
      </c>
      <c r="I75" s="1">
        <v>0</v>
      </c>
      <c r="J75" s="1" t="s">
        <v>23</v>
      </c>
      <c r="K75" s="1">
        <v>40000</v>
      </c>
      <c r="L75" s="1" t="s">
        <v>17</v>
      </c>
      <c r="M75" s="3" t="s">
        <v>18</v>
      </c>
      <c r="N75" s="1" t="str">
        <f>INDEX(Table3[#All], MATCH(Table13[[#This Row],[Dept_Id]], Table3[[#All],[Dept_Id]], 0), 1)</f>
        <v>Development</v>
      </c>
    </row>
    <row r="76" spans="1:14" x14ac:dyDescent="0.25">
      <c r="A76" s="2">
        <v>104639</v>
      </c>
      <c r="B76" s="1" t="s">
        <v>303</v>
      </c>
      <c r="C76" s="1" t="s">
        <v>304</v>
      </c>
      <c r="D76" s="1" t="s">
        <v>305</v>
      </c>
      <c r="E76" s="1" t="s">
        <v>33</v>
      </c>
      <c r="F76" s="1" t="s">
        <v>306</v>
      </c>
      <c r="G76" s="1">
        <v>6</v>
      </c>
      <c r="H76" s="1" t="s">
        <v>35</v>
      </c>
      <c r="I76" s="1">
        <v>0</v>
      </c>
      <c r="J76" s="1" t="s">
        <v>23</v>
      </c>
      <c r="K76" s="1">
        <v>40000</v>
      </c>
      <c r="L76" s="1" t="s">
        <v>61</v>
      </c>
      <c r="M76" s="3" t="s">
        <v>18</v>
      </c>
      <c r="N76" s="1" t="str">
        <f>INDEX(Table3[#All], MATCH(Table13[[#This Row],[Dept_Id]], Table3[[#All],[Dept_Id]], 0), 1)</f>
        <v>Research</v>
      </c>
    </row>
    <row r="77" spans="1:14" x14ac:dyDescent="0.25">
      <c r="A77" s="2">
        <v>10047</v>
      </c>
      <c r="B77" s="1" t="s">
        <v>307</v>
      </c>
      <c r="C77" s="1" t="s">
        <v>308</v>
      </c>
      <c r="D77" s="1" t="s">
        <v>309</v>
      </c>
      <c r="E77" s="1" t="s">
        <v>13</v>
      </c>
      <c r="F77" s="1" t="s">
        <v>270</v>
      </c>
      <c r="G77" s="1">
        <v>10</v>
      </c>
      <c r="H77" s="1" t="s">
        <v>15</v>
      </c>
      <c r="I77" s="1">
        <v>1</v>
      </c>
      <c r="J77" s="1" t="s">
        <v>310</v>
      </c>
      <c r="K77" s="1">
        <v>54982</v>
      </c>
      <c r="L77" s="1" t="s">
        <v>24</v>
      </c>
      <c r="M77" s="3" t="s">
        <v>18</v>
      </c>
      <c r="N77" s="1" t="str">
        <f>INDEX(Table3[#All], MATCH(Table13[[#This Row],[Dept_Id]], Table3[[#All],[Dept_Id]], 0), 1)</f>
        <v>Production</v>
      </c>
    </row>
    <row r="78" spans="1:14" x14ac:dyDescent="0.25">
      <c r="A78" s="2">
        <v>10048</v>
      </c>
      <c r="B78" s="1" t="s">
        <v>311</v>
      </c>
      <c r="C78" s="1" t="s">
        <v>312</v>
      </c>
      <c r="D78" s="1" t="s">
        <v>313</v>
      </c>
      <c r="E78" s="1" t="s">
        <v>13</v>
      </c>
      <c r="F78" s="1" t="s">
        <v>314</v>
      </c>
      <c r="G78" s="1">
        <v>9</v>
      </c>
      <c r="H78" s="1" t="s">
        <v>35</v>
      </c>
      <c r="I78" s="1">
        <v>0</v>
      </c>
      <c r="J78" s="1" t="s">
        <v>23</v>
      </c>
      <c r="K78" s="1">
        <v>40000</v>
      </c>
      <c r="L78" s="1" t="s">
        <v>17</v>
      </c>
      <c r="M78" s="3" t="s">
        <v>55</v>
      </c>
      <c r="N78" s="1" t="str">
        <f>INDEX(Table3[#All], MATCH(Table13[[#This Row],[Dept_Id]], Table3[[#All],[Dept_Id]], 0), 1)</f>
        <v>Development</v>
      </c>
    </row>
    <row r="79" spans="1:14" x14ac:dyDescent="0.25">
      <c r="A79" s="2">
        <v>214555</v>
      </c>
      <c r="B79" s="1" t="s">
        <v>315</v>
      </c>
      <c r="C79" s="1" t="s">
        <v>316</v>
      </c>
      <c r="D79" s="1" t="s">
        <v>317</v>
      </c>
      <c r="E79" s="1" t="s">
        <v>33</v>
      </c>
      <c r="F79" s="1" t="s">
        <v>318</v>
      </c>
      <c r="G79" s="1">
        <v>8</v>
      </c>
      <c r="H79" s="1" t="s">
        <v>29</v>
      </c>
      <c r="I79" s="1">
        <v>0</v>
      </c>
      <c r="J79" s="1" t="s">
        <v>23</v>
      </c>
      <c r="K79" s="1">
        <v>40000</v>
      </c>
      <c r="L79" s="1" t="s">
        <v>17</v>
      </c>
      <c r="M79" s="3" t="s">
        <v>18</v>
      </c>
      <c r="N79" s="1" t="str">
        <f>INDEX(Table3[#All], MATCH(Table13[[#This Row],[Dept_Id]], Table3[[#All],[Dept_Id]], 0), 1)</f>
        <v>Development</v>
      </c>
    </row>
    <row r="80" spans="1:14" x14ac:dyDescent="0.25">
      <c r="A80" s="2">
        <v>10049</v>
      </c>
      <c r="B80" s="1" t="s">
        <v>319</v>
      </c>
      <c r="C80" s="1" t="s">
        <v>320</v>
      </c>
      <c r="D80" s="1" t="s">
        <v>321</v>
      </c>
      <c r="E80" s="1" t="s">
        <v>33</v>
      </c>
      <c r="F80" s="1" t="s">
        <v>322</v>
      </c>
      <c r="G80" s="1">
        <v>3</v>
      </c>
      <c r="H80" s="1" t="s">
        <v>35</v>
      </c>
      <c r="I80" s="1">
        <v>0</v>
      </c>
      <c r="J80" s="1" t="s">
        <v>23</v>
      </c>
      <c r="K80" s="1">
        <v>40000</v>
      </c>
      <c r="L80" s="1" t="s">
        <v>89</v>
      </c>
      <c r="M80" s="3" t="s">
        <v>41</v>
      </c>
      <c r="N80" s="1" t="str">
        <f>INDEX(Table3[#All], MATCH(Table13[[#This Row],[Dept_Id]], Table3[[#All],[Dept_Id]], 0), 1)</f>
        <v>Customer Service</v>
      </c>
    </row>
    <row r="81" spans="1:14" x14ac:dyDescent="0.25">
      <c r="A81" s="2">
        <v>10050</v>
      </c>
      <c r="B81" s="1" t="s">
        <v>323</v>
      </c>
      <c r="C81" s="1" t="s">
        <v>324</v>
      </c>
      <c r="D81" s="1" t="s">
        <v>325</v>
      </c>
      <c r="E81" s="1" t="s">
        <v>13</v>
      </c>
      <c r="F81" s="1" t="s">
        <v>326</v>
      </c>
      <c r="G81" s="1">
        <v>6</v>
      </c>
      <c r="H81" s="1" t="s">
        <v>15</v>
      </c>
      <c r="I81" s="1">
        <v>0</v>
      </c>
      <c r="J81" s="1" t="s">
        <v>23</v>
      </c>
      <c r="K81" s="1">
        <v>74366</v>
      </c>
      <c r="L81" s="1" t="s">
        <v>108</v>
      </c>
      <c r="M81" s="3" t="s">
        <v>41</v>
      </c>
      <c r="N81" s="1" t="str">
        <f>INDEX(Table3[#All], MATCH(Table13[[#This Row],[Dept_Id]], Table3[[#All],[Dept_Id]], 0), 1)</f>
        <v>Finance</v>
      </c>
    </row>
    <row r="82" spans="1:14" x14ac:dyDescent="0.25">
      <c r="A82" s="2">
        <v>10050</v>
      </c>
      <c r="B82" s="1" t="s">
        <v>323</v>
      </c>
      <c r="C82" s="1" t="s">
        <v>324</v>
      </c>
      <c r="D82" s="1" t="s">
        <v>325</v>
      </c>
      <c r="E82" s="1" t="s">
        <v>13</v>
      </c>
      <c r="F82" s="1" t="s">
        <v>326</v>
      </c>
      <c r="G82" s="1">
        <v>6</v>
      </c>
      <c r="H82" s="1" t="s">
        <v>15</v>
      </c>
      <c r="I82" s="1">
        <v>0</v>
      </c>
      <c r="J82" s="1" t="s">
        <v>23</v>
      </c>
      <c r="K82" s="1">
        <v>74366</v>
      </c>
      <c r="L82" s="1" t="s">
        <v>40</v>
      </c>
      <c r="M82" s="3" t="s">
        <v>41</v>
      </c>
      <c r="N82" s="1" t="str">
        <f>INDEX(Table3[#All], MATCH(Table13[[#This Row],[Dept_Id]], Table3[[#All],[Dept_Id]], 0), 1)</f>
        <v>Sales</v>
      </c>
    </row>
    <row r="83" spans="1:14" x14ac:dyDescent="0.25">
      <c r="A83" s="2">
        <v>229010</v>
      </c>
      <c r="B83" s="1" t="s">
        <v>327</v>
      </c>
      <c r="C83" s="1" t="s">
        <v>328</v>
      </c>
      <c r="D83" s="1" t="s">
        <v>329</v>
      </c>
      <c r="E83" s="1" t="s">
        <v>13</v>
      </c>
      <c r="F83" s="1" t="s">
        <v>330</v>
      </c>
      <c r="G83" s="1">
        <v>9</v>
      </c>
      <c r="H83" s="1" t="s">
        <v>35</v>
      </c>
      <c r="I83" s="1">
        <v>0</v>
      </c>
      <c r="J83" s="1" t="s">
        <v>23</v>
      </c>
      <c r="K83" s="1">
        <v>40000</v>
      </c>
      <c r="L83" s="1" t="s">
        <v>46</v>
      </c>
      <c r="M83" s="3" t="s">
        <v>41</v>
      </c>
      <c r="N83" s="1" t="str">
        <f>INDEX(Table3[#All], MATCH(Table13[[#This Row],[Dept_Id]], Table3[[#All],[Dept_Id]], 0), 1)</f>
        <v>Human Resources</v>
      </c>
    </row>
    <row r="84" spans="1:14" x14ac:dyDescent="0.25">
      <c r="A84" s="2">
        <v>10051</v>
      </c>
      <c r="B84" s="1" t="s">
        <v>331</v>
      </c>
      <c r="C84" s="1" t="s">
        <v>332</v>
      </c>
      <c r="D84" s="1" t="s">
        <v>333</v>
      </c>
      <c r="E84" s="1" t="s">
        <v>13</v>
      </c>
      <c r="F84" s="1" t="s">
        <v>334</v>
      </c>
      <c r="G84" s="1">
        <v>2</v>
      </c>
      <c r="H84" s="1" t="s">
        <v>29</v>
      </c>
      <c r="I84" s="1">
        <v>0</v>
      </c>
      <c r="J84" s="1" t="s">
        <v>23</v>
      </c>
      <c r="K84" s="1">
        <v>48817</v>
      </c>
      <c r="L84" s="1" t="s">
        <v>24</v>
      </c>
      <c r="M84" s="3" t="s">
        <v>18</v>
      </c>
      <c r="N84" s="1" t="str">
        <f>INDEX(Table3[#All], MATCH(Table13[[#This Row],[Dept_Id]], Table3[[#All],[Dept_Id]], 0), 1)</f>
        <v>Production</v>
      </c>
    </row>
    <row r="85" spans="1:14" x14ac:dyDescent="0.25">
      <c r="A85" s="2">
        <v>35916</v>
      </c>
      <c r="B85" s="1" t="s">
        <v>335</v>
      </c>
      <c r="C85" s="1" t="s">
        <v>336</v>
      </c>
      <c r="D85" s="1" t="s">
        <v>337</v>
      </c>
      <c r="E85" s="1" t="s">
        <v>33</v>
      </c>
      <c r="F85" s="1" t="s">
        <v>338</v>
      </c>
      <c r="G85" s="1">
        <v>1</v>
      </c>
      <c r="H85" s="1" t="s">
        <v>29</v>
      </c>
      <c r="I85" s="1">
        <v>0</v>
      </c>
      <c r="J85" s="1" t="s">
        <v>23</v>
      </c>
      <c r="K85" s="1">
        <v>40000</v>
      </c>
      <c r="L85" s="1" t="s">
        <v>17</v>
      </c>
      <c r="M85" s="3" t="s">
        <v>18</v>
      </c>
      <c r="N85" s="1" t="str">
        <f>INDEX(Table3[#All], MATCH(Table13[[#This Row],[Dept_Id]], Table3[[#All],[Dept_Id]], 0), 1)</f>
        <v>Development</v>
      </c>
    </row>
    <row r="86" spans="1:14" x14ac:dyDescent="0.25">
      <c r="A86" s="2">
        <v>10052</v>
      </c>
      <c r="B86" s="1" t="s">
        <v>339</v>
      </c>
      <c r="C86" s="1" t="s">
        <v>340</v>
      </c>
      <c r="D86" s="1" t="s">
        <v>341</v>
      </c>
      <c r="E86" s="1" t="s">
        <v>13</v>
      </c>
      <c r="F86" s="1" t="s">
        <v>342</v>
      </c>
      <c r="G86" s="1">
        <v>5</v>
      </c>
      <c r="H86" s="1" t="s">
        <v>35</v>
      </c>
      <c r="I86" s="1">
        <v>0</v>
      </c>
      <c r="J86" s="1" t="s">
        <v>23</v>
      </c>
      <c r="K86" s="1">
        <v>57212</v>
      </c>
      <c r="L86" s="1" t="s">
        <v>61</v>
      </c>
      <c r="M86" s="3" t="s">
        <v>41</v>
      </c>
      <c r="N86" s="1" t="str">
        <f>INDEX(Table3[#All], MATCH(Table13[[#This Row],[Dept_Id]], Table3[[#All],[Dept_Id]], 0), 1)</f>
        <v>Research</v>
      </c>
    </row>
    <row r="87" spans="1:14" x14ac:dyDescent="0.25">
      <c r="A87" s="2">
        <v>10053</v>
      </c>
      <c r="B87" s="1" t="s">
        <v>343</v>
      </c>
      <c r="C87" s="1" t="s">
        <v>344</v>
      </c>
      <c r="D87" s="1" t="s">
        <v>345</v>
      </c>
      <c r="E87" s="1" t="s">
        <v>33</v>
      </c>
      <c r="F87" s="1" t="s">
        <v>346</v>
      </c>
      <c r="G87" s="1">
        <v>4</v>
      </c>
      <c r="H87" s="1" t="s">
        <v>35</v>
      </c>
      <c r="I87" s="1">
        <v>0</v>
      </c>
      <c r="J87" s="1" t="s">
        <v>23</v>
      </c>
      <c r="K87" s="1">
        <v>67854</v>
      </c>
      <c r="L87" s="1" t="s">
        <v>40</v>
      </c>
      <c r="M87" s="3" t="s">
        <v>102</v>
      </c>
      <c r="N87" s="1" t="str">
        <f>INDEX(Table3[#All], MATCH(Table13[[#This Row],[Dept_Id]], Table3[[#All],[Dept_Id]], 0), 1)</f>
        <v>Sales</v>
      </c>
    </row>
    <row r="88" spans="1:14" x14ac:dyDescent="0.25">
      <c r="A88" s="2">
        <v>61583</v>
      </c>
      <c r="B88" s="1" t="s">
        <v>347</v>
      </c>
      <c r="C88" s="1" t="s">
        <v>348</v>
      </c>
      <c r="D88" s="1" t="s">
        <v>349</v>
      </c>
      <c r="E88" s="1" t="s">
        <v>13</v>
      </c>
      <c r="F88" s="1" t="s">
        <v>350</v>
      </c>
      <c r="G88" s="1">
        <v>6</v>
      </c>
      <c r="H88" s="1" t="s">
        <v>35</v>
      </c>
      <c r="I88" s="1">
        <v>0</v>
      </c>
      <c r="J88" s="1" t="s">
        <v>23</v>
      </c>
      <c r="K88" s="1">
        <v>50801</v>
      </c>
      <c r="L88" s="1" t="s">
        <v>17</v>
      </c>
      <c r="M88" s="3" t="s">
        <v>18</v>
      </c>
      <c r="N88" s="1" t="str">
        <f>INDEX(Table3[#All], MATCH(Table13[[#This Row],[Dept_Id]], Table3[[#All],[Dept_Id]], 0), 1)</f>
        <v>Development</v>
      </c>
    </row>
    <row r="89" spans="1:14" x14ac:dyDescent="0.25">
      <c r="A89" s="2">
        <v>10054</v>
      </c>
      <c r="B89" s="1" t="s">
        <v>351</v>
      </c>
      <c r="C89" s="1" t="s">
        <v>352</v>
      </c>
      <c r="D89" s="1" t="s">
        <v>353</v>
      </c>
      <c r="E89" s="1" t="s">
        <v>13</v>
      </c>
      <c r="F89" s="1" t="s">
        <v>354</v>
      </c>
      <c r="G89" s="1">
        <v>8</v>
      </c>
      <c r="H89" s="1" t="s">
        <v>29</v>
      </c>
      <c r="I89" s="1">
        <v>0</v>
      </c>
      <c r="J89" s="1" t="s">
        <v>23</v>
      </c>
      <c r="K89" s="1">
        <v>40000</v>
      </c>
      <c r="L89" s="1" t="s">
        <v>46</v>
      </c>
      <c r="M89" s="3" t="s">
        <v>41</v>
      </c>
      <c r="N89" s="1" t="str">
        <f>INDEX(Table3[#All], MATCH(Table13[[#This Row],[Dept_Id]], Table3[[#All],[Dept_Id]], 0), 1)</f>
        <v>Human Resources</v>
      </c>
    </row>
    <row r="90" spans="1:14" x14ac:dyDescent="0.25">
      <c r="A90" s="2">
        <v>10055</v>
      </c>
      <c r="B90" s="1" t="s">
        <v>355</v>
      </c>
      <c r="C90" s="1" t="s">
        <v>356</v>
      </c>
      <c r="D90" s="1" t="s">
        <v>325</v>
      </c>
      <c r="E90" s="1" t="s">
        <v>13</v>
      </c>
      <c r="F90" s="1" t="s">
        <v>357</v>
      </c>
      <c r="G90" s="1">
        <v>4</v>
      </c>
      <c r="H90" s="1" t="s">
        <v>29</v>
      </c>
      <c r="I90" s="1">
        <v>0</v>
      </c>
      <c r="J90" s="1" t="s">
        <v>23</v>
      </c>
      <c r="K90" s="1">
        <v>80024</v>
      </c>
      <c r="L90" s="1" t="s">
        <v>125</v>
      </c>
      <c r="M90" s="3" t="s">
        <v>41</v>
      </c>
      <c r="N90" s="1" t="str">
        <f>INDEX(Table3[#All], MATCH(Table13[[#This Row],[Dept_Id]], Table3[[#All],[Dept_Id]], 0), 1)</f>
        <v>Marketing</v>
      </c>
    </row>
    <row r="91" spans="1:14" x14ac:dyDescent="0.25">
      <c r="A91" s="2">
        <v>67799</v>
      </c>
      <c r="B91" s="1" t="s">
        <v>358</v>
      </c>
      <c r="C91" s="1" t="s">
        <v>359</v>
      </c>
      <c r="D91" s="1" t="s">
        <v>360</v>
      </c>
      <c r="E91" s="1" t="s">
        <v>13</v>
      </c>
      <c r="F91" s="1" t="s">
        <v>361</v>
      </c>
      <c r="G91" s="1">
        <v>9</v>
      </c>
      <c r="H91" s="1" t="s">
        <v>35</v>
      </c>
      <c r="I91" s="1">
        <v>0</v>
      </c>
      <c r="J91" s="1" t="s">
        <v>23</v>
      </c>
      <c r="K91" s="1">
        <v>48111</v>
      </c>
      <c r="L91" s="1" t="s">
        <v>71</v>
      </c>
      <c r="M91" s="3" t="s">
        <v>55</v>
      </c>
      <c r="N91" s="1" t="str">
        <f>INDEX(Table3[#All], MATCH(Table13[[#This Row],[Dept_Id]], Table3[[#All],[Dept_Id]], 0), 1)</f>
        <v>Quality Management</v>
      </c>
    </row>
    <row r="92" spans="1:14" x14ac:dyDescent="0.25">
      <c r="A92" s="2">
        <v>10056</v>
      </c>
      <c r="B92" s="1" t="s">
        <v>362</v>
      </c>
      <c r="C92" s="1" t="s">
        <v>363</v>
      </c>
      <c r="D92" s="1" t="s">
        <v>364</v>
      </c>
      <c r="E92" s="1" t="s">
        <v>33</v>
      </c>
      <c r="F92" s="1" t="s">
        <v>365</v>
      </c>
      <c r="G92" s="1">
        <v>4</v>
      </c>
      <c r="H92" s="1" t="s">
        <v>15</v>
      </c>
      <c r="I92" s="1">
        <v>0</v>
      </c>
      <c r="J92" s="1" t="s">
        <v>23</v>
      </c>
      <c r="K92" s="1">
        <v>48857</v>
      </c>
      <c r="L92" s="1" t="s">
        <v>17</v>
      </c>
      <c r="M92" s="3" t="s">
        <v>18</v>
      </c>
      <c r="N92" s="1" t="str">
        <f>INDEX(Table3[#All], MATCH(Table13[[#This Row],[Dept_Id]], Table3[[#All],[Dept_Id]], 0), 1)</f>
        <v>Development</v>
      </c>
    </row>
    <row r="93" spans="1:14" x14ac:dyDescent="0.25">
      <c r="A93" s="2">
        <v>10057</v>
      </c>
      <c r="B93" s="1" t="s">
        <v>366</v>
      </c>
      <c r="C93" s="1" t="s">
        <v>367</v>
      </c>
      <c r="D93" s="1" t="s">
        <v>368</v>
      </c>
      <c r="E93" s="1" t="s">
        <v>33</v>
      </c>
      <c r="F93" s="1" t="s">
        <v>369</v>
      </c>
      <c r="G93" s="1">
        <v>9</v>
      </c>
      <c r="H93" s="1" t="s">
        <v>370</v>
      </c>
      <c r="I93" s="1">
        <v>0</v>
      </c>
      <c r="J93" s="1" t="s">
        <v>23</v>
      </c>
      <c r="K93" s="1">
        <v>49616</v>
      </c>
      <c r="L93" s="1" t="s">
        <v>17</v>
      </c>
      <c r="M93" s="3" t="s">
        <v>18</v>
      </c>
      <c r="N93" s="1" t="str">
        <f>INDEX(Table3[#All], MATCH(Table13[[#This Row],[Dept_Id]], Table3[[#All],[Dept_Id]], 0), 1)</f>
        <v>Development</v>
      </c>
    </row>
    <row r="94" spans="1:14" x14ac:dyDescent="0.25">
      <c r="A94" s="2">
        <v>37061</v>
      </c>
      <c r="B94" s="1" t="s">
        <v>371</v>
      </c>
      <c r="C94" s="1" t="s">
        <v>372</v>
      </c>
      <c r="D94" s="1" t="s">
        <v>203</v>
      </c>
      <c r="E94" s="1" t="s">
        <v>33</v>
      </c>
      <c r="F94" s="1" t="s">
        <v>373</v>
      </c>
      <c r="G94" s="1">
        <v>10</v>
      </c>
      <c r="H94" s="1" t="s">
        <v>15</v>
      </c>
      <c r="I94" s="1">
        <v>0</v>
      </c>
      <c r="J94" s="1" t="s">
        <v>23</v>
      </c>
      <c r="K94" s="1">
        <v>40000</v>
      </c>
      <c r="L94" s="1" t="s">
        <v>46</v>
      </c>
      <c r="M94" s="3" t="s">
        <v>41</v>
      </c>
      <c r="N94" s="1" t="str">
        <f>INDEX(Table3[#All], MATCH(Table13[[#This Row],[Dept_Id]], Table3[[#All],[Dept_Id]], 0), 1)</f>
        <v>Human Resources</v>
      </c>
    </row>
    <row r="95" spans="1:14" x14ac:dyDescent="0.25">
      <c r="A95" s="2">
        <v>10058</v>
      </c>
      <c r="B95" s="1" t="s">
        <v>374</v>
      </c>
      <c r="C95" s="1" t="s">
        <v>375</v>
      </c>
      <c r="D95" s="1" t="s">
        <v>376</v>
      </c>
      <c r="E95" s="1" t="s">
        <v>13</v>
      </c>
      <c r="F95" s="1" t="s">
        <v>377</v>
      </c>
      <c r="G95" s="1">
        <v>7</v>
      </c>
      <c r="H95" s="1" t="s">
        <v>29</v>
      </c>
      <c r="I95" s="1">
        <v>0</v>
      </c>
      <c r="J95" s="1" t="s">
        <v>23</v>
      </c>
      <c r="K95" s="1">
        <v>52787</v>
      </c>
      <c r="L95" s="1" t="s">
        <v>125</v>
      </c>
      <c r="M95" s="3" t="s">
        <v>102</v>
      </c>
      <c r="N95" s="1" t="str">
        <f>INDEX(Table3[#All], MATCH(Table13[[#This Row],[Dept_Id]], Table3[[#All],[Dept_Id]], 0), 1)</f>
        <v>Marketing</v>
      </c>
    </row>
    <row r="96" spans="1:14" x14ac:dyDescent="0.25">
      <c r="A96" s="2">
        <v>10059</v>
      </c>
      <c r="B96" s="1" t="s">
        <v>378</v>
      </c>
      <c r="C96" s="1" t="s">
        <v>258</v>
      </c>
      <c r="D96" s="1" t="s">
        <v>269</v>
      </c>
      <c r="E96" s="1" t="s">
        <v>33</v>
      </c>
      <c r="F96" s="1" t="s">
        <v>379</v>
      </c>
      <c r="G96" s="1">
        <v>2</v>
      </c>
      <c r="H96" s="1" t="s">
        <v>15</v>
      </c>
      <c r="I96" s="1">
        <v>0</v>
      </c>
      <c r="J96" s="1" t="s">
        <v>23</v>
      </c>
      <c r="K96" s="1">
        <v>71218</v>
      </c>
      <c r="L96" s="1" t="s">
        <v>108</v>
      </c>
      <c r="M96" s="3" t="s">
        <v>102</v>
      </c>
      <c r="N96" s="1" t="str">
        <f>INDEX(Table3[#All], MATCH(Table13[[#This Row],[Dept_Id]], Table3[[#All],[Dept_Id]], 0), 1)</f>
        <v>Finance</v>
      </c>
    </row>
    <row r="97" spans="1:14" x14ac:dyDescent="0.25">
      <c r="A97" s="2">
        <v>411412</v>
      </c>
      <c r="B97" s="1" t="s">
        <v>380</v>
      </c>
      <c r="C97" s="1" t="s">
        <v>381</v>
      </c>
      <c r="D97" s="1" t="s">
        <v>382</v>
      </c>
      <c r="E97" s="1" t="s">
        <v>13</v>
      </c>
      <c r="F97" s="1" t="s">
        <v>383</v>
      </c>
      <c r="G97" s="1">
        <v>2</v>
      </c>
      <c r="H97" s="1" t="s">
        <v>29</v>
      </c>
      <c r="I97" s="1">
        <v>0</v>
      </c>
      <c r="J97" s="1" t="s">
        <v>23</v>
      </c>
      <c r="K97" s="1">
        <v>42348</v>
      </c>
      <c r="L97" s="1" t="s">
        <v>24</v>
      </c>
      <c r="M97" s="3" t="s">
        <v>18</v>
      </c>
      <c r="N97" s="1" t="str">
        <f>INDEX(Table3[#All], MATCH(Table13[[#This Row],[Dept_Id]], Table3[[#All],[Dept_Id]], 0), 1)</f>
        <v>Production</v>
      </c>
    </row>
    <row r="98" spans="1:14" x14ac:dyDescent="0.25">
      <c r="A98" s="2">
        <v>10060</v>
      </c>
      <c r="B98" s="1" t="s">
        <v>384</v>
      </c>
      <c r="C98" s="1" t="s">
        <v>385</v>
      </c>
      <c r="D98" s="1" t="s">
        <v>386</v>
      </c>
      <c r="E98" s="1" t="s">
        <v>13</v>
      </c>
      <c r="F98" s="1" t="s">
        <v>387</v>
      </c>
      <c r="G98" s="1">
        <v>7</v>
      </c>
      <c r="H98" s="1" t="s">
        <v>29</v>
      </c>
      <c r="I98" s="1">
        <v>0</v>
      </c>
      <c r="J98" s="1" t="s">
        <v>23</v>
      </c>
      <c r="K98" s="1">
        <v>74686</v>
      </c>
      <c r="L98" s="1" t="s">
        <v>40</v>
      </c>
      <c r="M98" s="3" t="s">
        <v>41</v>
      </c>
      <c r="N98" s="1" t="str">
        <f>INDEX(Table3[#All], MATCH(Table13[[#This Row],[Dept_Id]], Table3[[#All],[Dept_Id]], 0), 1)</f>
        <v>Sales</v>
      </c>
    </row>
    <row r="99" spans="1:14" x14ac:dyDescent="0.25">
      <c r="A99" s="2">
        <v>10060</v>
      </c>
      <c r="B99" s="1" t="s">
        <v>384</v>
      </c>
      <c r="C99" s="1" t="s">
        <v>385</v>
      </c>
      <c r="D99" s="1" t="s">
        <v>386</v>
      </c>
      <c r="E99" s="1" t="s">
        <v>13</v>
      </c>
      <c r="F99" s="1" t="s">
        <v>387</v>
      </c>
      <c r="G99" s="1">
        <v>7</v>
      </c>
      <c r="H99" s="1" t="s">
        <v>29</v>
      </c>
      <c r="I99" s="1">
        <v>0</v>
      </c>
      <c r="J99" s="1" t="s">
        <v>23</v>
      </c>
      <c r="K99" s="1">
        <v>74686</v>
      </c>
      <c r="L99" s="1" t="s">
        <v>89</v>
      </c>
      <c r="M99" s="3" t="s">
        <v>41</v>
      </c>
      <c r="N99" s="1" t="str">
        <f>INDEX(Table3[#All], MATCH(Table13[[#This Row],[Dept_Id]], Table3[[#All],[Dept_Id]], 0), 1)</f>
        <v>Customer Service</v>
      </c>
    </row>
    <row r="100" spans="1:14" x14ac:dyDescent="0.25">
      <c r="A100" s="2">
        <v>422587</v>
      </c>
      <c r="B100" s="1" t="s">
        <v>388</v>
      </c>
      <c r="C100" s="1" t="s">
        <v>389</v>
      </c>
      <c r="D100" s="1" t="s">
        <v>128</v>
      </c>
      <c r="E100" s="1" t="s">
        <v>33</v>
      </c>
      <c r="F100" s="1" t="s">
        <v>390</v>
      </c>
      <c r="G100" s="1">
        <v>10</v>
      </c>
      <c r="H100" s="1" t="s">
        <v>15</v>
      </c>
      <c r="I100" s="1">
        <v>0</v>
      </c>
      <c r="J100" s="1" t="s">
        <v>23</v>
      </c>
      <c r="K100" s="1">
        <v>40000</v>
      </c>
      <c r="L100" s="1" t="s">
        <v>17</v>
      </c>
      <c r="M100" s="3" t="s">
        <v>18</v>
      </c>
      <c r="N100" s="1" t="str">
        <f>INDEX(Table3[#All], MATCH(Table13[[#This Row],[Dept_Id]], Table3[[#All],[Dept_Id]], 0), 1)</f>
        <v>Development</v>
      </c>
    </row>
    <row r="101" spans="1:14" x14ac:dyDescent="0.25">
      <c r="A101" s="2">
        <v>10061</v>
      </c>
      <c r="B101" s="1" t="s">
        <v>391</v>
      </c>
      <c r="C101" s="1" t="s">
        <v>392</v>
      </c>
      <c r="D101" s="1" t="s">
        <v>393</v>
      </c>
      <c r="E101" s="1" t="s">
        <v>13</v>
      </c>
      <c r="F101" s="1" t="s">
        <v>394</v>
      </c>
      <c r="G101" s="1">
        <v>1</v>
      </c>
      <c r="H101" s="1" t="s">
        <v>35</v>
      </c>
      <c r="I101" s="1">
        <v>0</v>
      </c>
      <c r="J101" s="1" t="s">
        <v>23</v>
      </c>
      <c r="K101" s="1">
        <v>68577</v>
      </c>
      <c r="L101" s="1" t="s">
        <v>40</v>
      </c>
      <c r="M101" s="3" t="s">
        <v>102</v>
      </c>
      <c r="N101" s="1" t="str">
        <f>INDEX(Table3[#All], MATCH(Table13[[#This Row],[Dept_Id]], Table3[[#All],[Dept_Id]], 0), 1)</f>
        <v>Sales</v>
      </c>
    </row>
    <row r="102" spans="1:14" x14ac:dyDescent="0.25">
      <c r="A102" s="2">
        <v>10062</v>
      </c>
      <c r="B102" s="1" t="s">
        <v>395</v>
      </c>
      <c r="C102" s="1" t="s">
        <v>396</v>
      </c>
      <c r="D102" s="1" t="s">
        <v>397</v>
      </c>
      <c r="E102" s="1" t="s">
        <v>13</v>
      </c>
      <c r="F102" s="1" t="s">
        <v>398</v>
      </c>
      <c r="G102" s="1">
        <v>7</v>
      </c>
      <c r="H102" s="1" t="s">
        <v>35</v>
      </c>
      <c r="I102" s="1">
        <v>1</v>
      </c>
      <c r="J102" s="1" t="s">
        <v>399</v>
      </c>
      <c r="K102" s="1">
        <v>55685</v>
      </c>
      <c r="L102" s="1" t="s">
        <v>17</v>
      </c>
      <c r="M102" s="3" t="s">
        <v>18</v>
      </c>
      <c r="N102" s="1" t="str">
        <f>INDEX(Table3[#All], MATCH(Table13[[#This Row],[Dept_Id]], Table3[[#All],[Dept_Id]], 0), 1)</f>
        <v>Development</v>
      </c>
    </row>
    <row r="103" spans="1:14" x14ac:dyDescent="0.25">
      <c r="A103" s="2">
        <v>35270</v>
      </c>
      <c r="B103" s="1" t="s">
        <v>400</v>
      </c>
      <c r="C103" s="1" t="s">
        <v>401</v>
      </c>
      <c r="D103" s="1" t="s">
        <v>402</v>
      </c>
      <c r="E103" s="1" t="s">
        <v>13</v>
      </c>
      <c r="F103" s="1" t="s">
        <v>403</v>
      </c>
      <c r="G103" s="1">
        <v>4</v>
      </c>
      <c r="H103" s="1" t="s">
        <v>29</v>
      </c>
      <c r="I103" s="1">
        <v>0</v>
      </c>
      <c r="J103" s="1" t="s">
        <v>23</v>
      </c>
      <c r="K103" s="1">
        <v>40338</v>
      </c>
      <c r="L103" s="1" t="s">
        <v>24</v>
      </c>
      <c r="M103" s="3" t="s">
        <v>156</v>
      </c>
      <c r="N103" s="1" t="str">
        <f>INDEX(Table3[#All], MATCH(Table13[[#This Row],[Dept_Id]], Table3[[#All],[Dept_Id]], 0), 1)</f>
        <v>Production</v>
      </c>
    </row>
    <row r="104" spans="1:14" x14ac:dyDescent="0.25">
      <c r="A104" s="2">
        <v>10063</v>
      </c>
      <c r="B104" s="1" t="s">
        <v>404</v>
      </c>
      <c r="C104" s="1" t="s">
        <v>405</v>
      </c>
      <c r="D104" s="1" t="s">
        <v>406</v>
      </c>
      <c r="E104" s="1" t="s">
        <v>33</v>
      </c>
      <c r="F104" s="1" t="s">
        <v>150</v>
      </c>
      <c r="G104" s="1">
        <v>1</v>
      </c>
      <c r="H104" s="1" t="s">
        <v>29</v>
      </c>
      <c r="I104" s="1">
        <v>0</v>
      </c>
      <c r="J104" s="1" t="s">
        <v>23</v>
      </c>
      <c r="K104" s="1">
        <v>40000</v>
      </c>
      <c r="L104" s="1" t="s">
        <v>24</v>
      </c>
      <c r="M104" s="3" t="s">
        <v>18</v>
      </c>
      <c r="N104" s="1" t="str">
        <f>INDEX(Table3[#All], MATCH(Table13[[#This Row],[Dept_Id]], Table3[[#All],[Dept_Id]], 0), 1)</f>
        <v>Production</v>
      </c>
    </row>
    <row r="105" spans="1:14" x14ac:dyDescent="0.25">
      <c r="A105" s="2">
        <v>10064</v>
      </c>
      <c r="B105" s="1" t="s">
        <v>407</v>
      </c>
      <c r="C105" s="1" t="s">
        <v>408</v>
      </c>
      <c r="D105" s="1" t="s">
        <v>409</v>
      </c>
      <c r="E105" s="1" t="s">
        <v>13</v>
      </c>
      <c r="F105" s="1" t="s">
        <v>204</v>
      </c>
      <c r="G105" s="1">
        <v>2</v>
      </c>
      <c r="H105" s="1" t="s">
        <v>29</v>
      </c>
      <c r="I105" s="1">
        <v>0</v>
      </c>
      <c r="J105" s="1" t="s">
        <v>23</v>
      </c>
      <c r="K105" s="1">
        <v>40000</v>
      </c>
      <c r="L105" s="1" t="s">
        <v>61</v>
      </c>
      <c r="M105" s="3" t="s">
        <v>41</v>
      </c>
      <c r="N105" s="1" t="str">
        <f>INDEX(Table3[#All], MATCH(Table13[[#This Row],[Dept_Id]], Table3[[#All],[Dept_Id]], 0), 1)</f>
        <v>Research</v>
      </c>
    </row>
    <row r="106" spans="1:14" x14ac:dyDescent="0.25">
      <c r="A106" s="2">
        <v>105597</v>
      </c>
      <c r="B106" s="1" t="s">
        <v>410</v>
      </c>
      <c r="C106" s="1" t="s">
        <v>411</v>
      </c>
      <c r="D106" s="1" t="s">
        <v>412</v>
      </c>
      <c r="E106" s="1" t="s">
        <v>13</v>
      </c>
      <c r="F106" s="1" t="s">
        <v>413</v>
      </c>
      <c r="G106" s="1">
        <v>2</v>
      </c>
      <c r="H106" s="1" t="s">
        <v>29</v>
      </c>
      <c r="I106" s="1">
        <v>0</v>
      </c>
      <c r="J106" s="1" t="s">
        <v>23</v>
      </c>
      <c r="K106" s="1">
        <v>43841</v>
      </c>
      <c r="L106" s="1" t="s">
        <v>46</v>
      </c>
      <c r="M106" s="3" t="s">
        <v>102</v>
      </c>
      <c r="N106" s="1" t="str">
        <f>INDEX(Table3[#All], MATCH(Table13[[#This Row],[Dept_Id]], Table3[[#All],[Dept_Id]], 0), 1)</f>
        <v>Human Resources</v>
      </c>
    </row>
    <row r="107" spans="1:14" x14ac:dyDescent="0.25">
      <c r="A107" s="2">
        <v>10065</v>
      </c>
      <c r="B107" s="1" t="s">
        <v>414</v>
      </c>
      <c r="C107" s="1" t="s">
        <v>415</v>
      </c>
      <c r="D107" s="1" t="s">
        <v>416</v>
      </c>
      <c r="E107" s="1" t="s">
        <v>13</v>
      </c>
      <c r="F107" s="1" t="s">
        <v>417</v>
      </c>
      <c r="G107" s="1">
        <v>5</v>
      </c>
      <c r="H107" s="1" t="s">
        <v>35</v>
      </c>
      <c r="I107" s="1">
        <v>0</v>
      </c>
      <c r="J107" s="1" t="s">
        <v>23</v>
      </c>
      <c r="K107" s="1">
        <v>40000</v>
      </c>
      <c r="L107" s="1" t="s">
        <v>17</v>
      </c>
      <c r="M107" s="3" t="s">
        <v>55</v>
      </c>
      <c r="N107" s="1" t="str">
        <f>INDEX(Table3[#All], MATCH(Table13[[#This Row],[Dept_Id]], Table3[[#All],[Dept_Id]], 0), 1)</f>
        <v>Development</v>
      </c>
    </row>
    <row r="108" spans="1:14" x14ac:dyDescent="0.25">
      <c r="A108" s="2">
        <v>10066</v>
      </c>
      <c r="B108" s="1" t="s">
        <v>418</v>
      </c>
      <c r="C108" s="1" t="s">
        <v>419</v>
      </c>
      <c r="D108" s="1" t="s">
        <v>420</v>
      </c>
      <c r="E108" s="1" t="s">
        <v>13</v>
      </c>
      <c r="F108" s="1" t="s">
        <v>421</v>
      </c>
      <c r="G108" s="1">
        <v>1</v>
      </c>
      <c r="H108" s="1" t="s">
        <v>138</v>
      </c>
      <c r="I108" s="1">
        <v>0</v>
      </c>
      <c r="J108" s="1" t="s">
        <v>23</v>
      </c>
      <c r="K108" s="1">
        <v>69736</v>
      </c>
      <c r="L108" s="1" t="s">
        <v>17</v>
      </c>
      <c r="M108" s="3" t="s">
        <v>18</v>
      </c>
      <c r="N108" s="1" t="str">
        <f>INDEX(Table3[#All], MATCH(Table13[[#This Row],[Dept_Id]], Table3[[#All],[Dept_Id]], 0), 1)</f>
        <v>Development</v>
      </c>
    </row>
    <row r="109" spans="1:14" x14ac:dyDescent="0.25">
      <c r="A109" s="2">
        <v>244689</v>
      </c>
      <c r="B109" s="1" t="s">
        <v>422</v>
      </c>
      <c r="C109" s="1" t="s">
        <v>423</v>
      </c>
      <c r="D109" s="1" t="s">
        <v>424</v>
      </c>
      <c r="E109" s="1" t="s">
        <v>13</v>
      </c>
      <c r="F109" s="1" t="s">
        <v>425</v>
      </c>
      <c r="G109" s="1">
        <v>7</v>
      </c>
      <c r="H109" s="1" t="s">
        <v>35</v>
      </c>
      <c r="I109" s="1">
        <v>0</v>
      </c>
      <c r="J109" s="1" t="s">
        <v>23</v>
      </c>
      <c r="K109" s="1">
        <v>40000</v>
      </c>
      <c r="L109" s="1" t="s">
        <v>125</v>
      </c>
      <c r="M109" s="3" t="s">
        <v>41</v>
      </c>
      <c r="N109" s="1" t="str">
        <f>INDEX(Table3[#All], MATCH(Table13[[#This Row],[Dept_Id]], Table3[[#All],[Dept_Id]], 0), 1)</f>
        <v>Marketing</v>
      </c>
    </row>
    <row r="110" spans="1:14" x14ac:dyDescent="0.25">
      <c r="A110" s="2">
        <v>244689</v>
      </c>
      <c r="B110" s="1" t="s">
        <v>422</v>
      </c>
      <c r="C110" s="1" t="s">
        <v>423</v>
      </c>
      <c r="D110" s="1" t="s">
        <v>424</v>
      </c>
      <c r="E110" s="1" t="s">
        <v>13</v>
      </c>
      <c r="F110" s="1" t="s">
        <v>425</v>
      </c>
      <c r="G110" s="1">
        <v>7</v>
      </c>
      <c r="H110" s="1" t="s">
        <v>35</v>
      </c>
      <c r="I110" s="1">
        <v>0</v>
      </c>
      <c r="J110" s="1" t="s">
        <v>23</v>
      </c>
      <c r="K110" s="1">
        <v>40000</v>
      </c>
      <c r="L110" s="1" t="s">
        <v>46</v>
      </c>
      <c r="M110" s="3" t="s">
        <v>41</v>
      </c>
      <c r="N110" s="1" t="str">
        <f>INDEX(Table3[#All], MATCH(Table13[[#This Row],[Dept_Id]], Table3[[#All],[Dept_Id]], 0), 1)</f>
        <v>Human Resources</v>
      </c>
    </row>
    <row r="111" spans="1:14" x14ac:dyDescent="0.25">
      <c r="A111" s="2">
        <v>10067</v>
      </c>
      <c r="B111" s="1" t="s">
        <v>426</v>
      </c>
      <c r="C111" s="1" t="s">
        <v>427</v>
      </c>
      <c r="D111" s="1" t="s">
        <v>428</v>
      </c>
      <c r="E111" s="1" t="s">
        <v>13</v>
      </c>
      <c r="F111" s="1" t="s">
        <v>429</v>
      </c>
      <c r="G111" s="1">
        <v>2</v>
      </c>
      <c r="H111" s="1" t="s">
        <v>15</v>
      </c>
      <c r="I111" s="1">
        <v>0</v>
      </c>
      <c r="J111" s="1" t="s">
        <v>23</v>
      </c>
      <c r="K111" s="1">
        <v>44642</v>
      </c>
      <c r="L111" s="1" t="s">
        <v>71</v>
      </c>
      <c r="M111" s="3" t="s">
        <v>18</v>
      </c>
      <c r="N111" s="1" t="str">
        <f>INDEX(Table3[#All], MATCH(Table13[[#This Row],[Dept_Id]], Table3[[#All],[Dept_Id]], 0), 1)</f>
        <v>Quality Management</v>
      </c>
    </row>
    <row r="112" spans="1:14" x14ac:dyDescent="0.25">
      <c r="A112" s="2">
        <v>10068</v>
      </c>
      <c r="B112" s="1" t="s">
        <v>430</v>
      </c>
      <c r="C112" s="1" t="s">
        <v>431</v>
      </c>
      <c r="D112" s="1" t="s">
        <v>432</v>
      </c>
      <c r="E112" s="1" t="s">
        <v>13</v>
      </c>
      <c r="F112" s="1" t="s">
        <v>433</v>
      </c>
      <c r="G112" s="1">
        <v>6</v>
      </c>
      <c r="H112" s="1" t="s">
        <v>29</v>
      </c>
      <c r="I112" s="1">
        <v>0</v>
      </c>
      <c r="J112" s="1" t="s">
        <v>23</v>
      </c>
      <c r="K112" s="1">
        <v>87964</v>
      </c>
      <c r="L112" s="1" t="s">
        <v>40</v>
      </c>
      <c r="M112" s="3" t="s">
        <v>41</v>
      </c>
      <c r="N112" s="1" t="str">
        <f>INDEX(Table3[#All], MATCH(Table13[[#This Row],[Dept_Id]], Table3[[#All],[Dept_Id]], 0), 1)</f>
        <v>Sales</v>
      </c>
    </row>
    <row r="113" spans="1:14" x14ac:dyDescent="0.25">
      <c r="A113" s="2">
        <v>48885</v>
      </c>
      <c r="B113" s="1" t="s">
        <v>434</v>
      </c>
      <c r="C113" s="1" t="s">
        <v>435</v>
      </c>
      <c r="D113" s="1" t="s">
        <v>436</v>
      </c>
      <c r="E113" s="1" t="s">
        <v>13</v>
      </c>
      <c r="F113" s="1" t="s">
        <v>437</v>
      </c>
      <c r="G113" s="1">
        <v>9</v>
      </c>
      <c r="H113" s="1" t="s">
        <v>35</v>
      </c>
      <c r="I113" s="1">
        <v>0</v>
      </c>
      <c r="J113" s="1" t="s">
        <v>23</v>
      </c>
      <c r="K113" s="1">
        <v>55736</v>
      </c>
      <c r="L113" s="1" t="s">
        <v>17</v>
      </c>
      <c r="M113" s="3" t="s">
        <v>18</v>
      </c>
      <c r="N113" s="1" t="str">
        <f>INDEX(Table3[#All], MATCH(Table13[[#This Row],[Dept_Id]], Table3[[#All],[Dept_Id]], 0), 1)</f>
        <v>Development</v>
      </c>
    </row>
    <row r="114" spans="1:14" x14ac:dyDescent="0.25">
      <c r="A114" s="2">
        <v>10069</v>
      </c>
      <c r="B114" s="1" t="s">
        <v>438</v>
      </c>
      <c r="C114" s="1" t="s">
        <v>439</v>
      </c>
      <c r="D114" s="1" t="s">
        <v>440</v>
      </c>
      <c r="E114" s="1" t="s">
        <v>33</v>
      </c>
      <c r="F114" s="1" t="s">
        <v>441</v>
      </c>
      <c r="G114" s="1">
        <v>10</v>
      </c>
      <c r="H114" s="1" t="s">
        <v>29</v>
      </c>
      <c r="I114" s="1">
        <v>0</v>
      </c>
      <c r="J114" s="1" t="s">
        <v>23</v>
      </c>
      <c r="K114" s="1">
        <v>67932</v>
      </c>
      <c r="L114" s="1" t="s">
        <v>24</v>
      </c>
      <c r="M114" s="3" t="s">
        <v>156</v>
      </c>
      <c r="N114" s="1" t="str">
        <f>INDEX(Table3[#All], MATCH(Table13[[#This Row],[Dept_Id]], Table3[[#All],[Dept_Id]], 0), 1)</f>
        <v>Production</v>
      </c>
    </row>
    <row r="115" spans="1:14" x14ac:dyDescent="0.25">
      <c r="A115" s="2">
        <v>10070</v>
      </c>
      <c r="B115" s="1" t="s">
        <v>442</v>
      </c>
      <c r="C115" s="1" t="s">
        <v>443</v>
      </c>
      <c r="D115" s="1" t="s">
        <v>444</v>
      </c>
      <c r="E115" s="1" t="s">
        <v>13</v>
      </c>
      <c r="F115" s="1" t="s">
        <v>445</v>
      </c>
      <c r="G115" s="1">
        <v>7</v>
      </c>
      <c r="H115" s="1" t="s">
        <v>29</v>
      </c>
      <c r="I115" s="1">
        <v>0</v>
      </c>
      <c r="J115" s="1" t="s">
        <v>23</v>
      </c>
      <c r="K115" s="1">
        <v>55999</v>
      </c>
      <c r="L115" s="1" t="s">
        <v>17</v>
      </c>
      <c r="M115" s="3" t="s">
        <v>156</v>
      </c>
      <c r="N115" s="1" t="str">
        <f>INDEX(Table3[#All], MATCH(Table13[[#This Row],[Dept_Id]], Table3[[#All],[Dept_Id]], 0), 1)</f>
        <v>Development</v>
      </c>
    </row>
    <row r="116" spans="1:14" x14ac:dyDescent="0.25">
      <c r="A116" s="2">
        <v>10070</v>
      </c>
      <c r="B116" s="1" t="s">
        <v>442</v>
      </c>
      <c r="C116" s="1" t="s">
        <v>443</v>
      </c>
      <c r="D116" s="1" t="s">
        <v>444</v>
      </c>
      <c r="E116" s="1" t="s">
        <v>13</v>
      </c>
      <c r="F116" s="1" t="s">
        <v>445</v>
      </c>
      <c r="G116" s="1">
        <v>7</v>
      </c>
      <c r="H116" s="1" t="s">
        <v>29</v>
      </c>
      <c r="I116" s="1">
        <v>0</v>
      </c>
      <c r="J116" s="1" t="s">
        <v>23</v>
      </c>
      <c r="K116" s="1">
        <v>55999</v>
      </c>
      <c r="L116" s="1" t="s">
        <v>61</v>
      </c>
      <c r="M116" s="3" t="s">
        <v>156</v>
      </c>
      <c r="N116" s="1" t="str">
        <f>INDEX(Table3[#All], MATCH(Table13[[#This Row],[Dept_Id]], Table3[[#All],[Dept_Id]], 0), 1)</f>
        <v>Research</v>
      </c>
    </row>
    <row r="117" spans="1:14" x14ac:dyDescent="0.25">
      <c r="A117" s="2">
        <v>244492</v>
      </c>
      <c r="B117" s="1" t="s">
        <v>446</v>
      </c>
      <c r="C117" s="1" t="s">
        <v>447</v>
      </c>
      <c r="D117" s="1" t="s">
        <v>448</v>
      </c>
      <c r="E117" s="1" t="s">
        <v>13</v>
      </c>
      <c r="F117" s="1" t="s">
        <v>449</v>
      </c>
      <c r="G117" s="1">
        <v>3</v>
      </c>
      <c r="H117" s="1" t="s">
        <v>15</v>
      </c>
      <c r="I117" s="1">
        <v>1</v>
      </c>
      <c r="J117" s="1" t="s">
        <v>450</v>
      </c>
      <c r="K117" s="1">
        <v>63685</v>
      </c>
      <c r="L117" s="1" t="s">
        <v>17</v>
      </c>
      <c r="M117" s="3" t="s">
        <v>18</v>
      </c>
      <c r="N117" s="1" t="str">
        <f>INDEX(Table3[#All], MATCH(Table13[[#This Row],[Dept_Id]], Table3[[#All],[Dept_Id]], 0), 1)</f>
        <v>Development</v>
      </c>
    </row>
    <row r="118" spans="1:14" x14ac:dyDescent="0.25">
      <c r="A118" s="2">
        <v>10071</v>
      </c>
      <c r="B118" s="1" t="s">
        <v>451</v>
      </c>
      <c r="C118" s="1" t="s">
        <v>452</v>
      </c>
      <c r="D118" s="1" t="s">
        <v>453</v>
      </c>
      <c r="E118" s="1" t="s">
        <v>13</v>
      </c>
      <c r="F118" s="1" t="s">
        <v>454</v>
      </c>
      <c r="G118" s="1">
        <v>4</v>
      </c>
      <c r="H118" s="1" t="s">
        <v>35</v>
      </c>
      <c r="I118" s="1">
        <v>0</v>
      </c>
      <c r="J118" s="1" t="s">
        <v>23</v>
      </c>
      <c r="K118" s="1">
        <v>40000</v>
      </c>
      <c r="L118" s="1" t="s">
        <v>46</v>
      </c>
      <c r="M118" s="3" t="s">
        <v>41</v>
      </c>
      <c r="N118" s="1" t="str">
        <f>INDEX(Table3[#All], MATCH(Table13[[#This Row],[Dept_Id]], Table3[[#All],[Dept_Id]], 0), 1)</f>
        <v>Human Resources</v>
      </c>
    </row>
    <row r="119" spans="1:14" x14ac:dyDescent="0.25">
      <c r="A119" s="2">
        <v>215615</v>
      </c>
      <c r="B119" s="1" t="s">
        <v>455</v>
      </c>
      <c r="C119" s="1" t="s">
        <v>234</v>
      </c>
      <c r="D119" s="1" t="s">
        <v>456</v>
      </c>
      <c r="E119" s="1" t="s">
        <v>33</v>
      </c>
      <c r="F119" s="1" t="s">
        <v>457</v>
      </c>
      <c r="G119" s="1">
        <v>10</v>
      </c>
      <c r="H119" s="1" t="s">
        <v>15</v>
      </c>
      <c r="I119" s="1">
        <v>0</v>
      </c>
      <c r="J119" s="1" t="s">
        <v>23</v>
      </c>
      <c r="K119" s="1">
        <v>40000</v>
      </c>
      <c r="L119" s="1" t="s">
        <v>24</v>
      </c>
      <c r="M119" s="3" t="s">
        <v>55</v>
      </c>
      <c r="N119" s="1" t="str">
        <f>INDEX(Table3[#All], MATCH(Table13[[#This Row],[Dept_Id]], Table3[[#All],[Dept_Id]], 0), 1)</f>
        <v>Production</v>
      </c>
    </row>
    <row r="120" spans="1:14" x14ac:dyDescent="0.25">
      <c r="A120" s="2">
        <v>215615</v>
      </c>
      <c r="B120" s="1" t="s">
        <v>455</v>
      </c>
      <c r="C120" s="1" t="s">
        <v>234</v>
      </c>
      <c r="D120" s="1" t="s">
        <v>456</v>
      </c>
      <c r="E120" s="1" t="s">
        <v>33</v>
      </c>
      <c r="F120" s="1" t="s">
        <v>457</v>
      </c>
      <c r="G120" s="1">
        <v>10</v>
      </c>
      <c r="H120" s="1" t="s">
        <v>15</v>
      </c>
      <c r="I120" s="1">
        <v>0</v>
      </c>
      <c r="J120" s="1" t="s">
        <v>23</v>
      </c>
      <c r="K120" s="1">
        <v>40000</v>
      </c>
      <c r="L120" s="1" t="s">
        <v>71</v>
      </c>
      <c r="M120" s="3" t="s">
        <v>55</v>
      </c>
      <c r="N120" s="1" t="str">
        <f>INDEX(Table3[#All], MATCH(Table13[[#This Row],[Dept_Id]], Table3[[#All],[Dept_Id]], 0), 1)</f>
        <v>Quality Management</v>
      </c>
    </row>
    <row r="121" spans="1:14" x14ac:dyDescent="0.25">
      <c r="A121" s="2">
        <v>10072</v>
      </c>
      <c r="B121" s="1" t="s">
        <v>458</v>
      </c>
      <c r="C121" s="1" t="s">
        <v>459</v>
      </c>
      <c r="D121" s="1" t="s">
        <v>460</v>
      </c>
      <c r="E121" s="1" t="s">
        <v>33</v>
      </c>
      <c r="F121" s="1" t="s">
        <v>461</v>
      </c>
      <c r="G121" s="1">
        <v>8</v>
      </c>
      <c r="H121" s="1" t="s">
        <v>35</v>
      </c>
      <c r="I121" s="1">
        <v>0</v>
      </c>
      <c r="J121" s="1" t="s">
        <v>23</v>
      </c>
      <c r="K121" s="1">
        <v>40000</v>
      </c>
      <c r="L121" s="1" t="s">
        <v>17</v>
      </c>
      <c r="M121" s="3" t="s">
        <v>18</v>
      </c>
      <c r="N121" s="1" t="str">
        <f>INDEX(Table3[#All], MATCH(Table13[[#This Row],[Dept_Id]], Table3[[#All],[Dept_Id]], 0), 1)</f>
        <v>Development</v>
      </c>
    </row>
    <row r="122" spans="1:14" x14ac:dyDescent="0.25">
      <c r="A122" s="2">
        <v>10073</v>
      </c>
      <c r="B122" s="1" t="s">
        <v>462</v>
      </c>
      <c r="C122" s="1" t="s">
        <v>463</v>
      </c>
      <c r="D122" s="1" t="s">
        <v>464</v>
      </c>
      <c r="E122" s="1" t="s">
        <v>13</v>
      </c>
      <c r="F122" s="1" t="s">
        <v>465</v>
      </c>
      <c r="G122" s="1">
        <v>5</v>
      </c>
      <c r="H122" s="1" t="s">
        <v>15</v>
      </c>
      <c r="I122" s="1">
        <v>0</v>
      </c>
      <c r="J122" s="1" t="s">
        <v>23</v>
      </c>
      <c r="K122" s="1">
        <v>56473</v>
      </c>
      <c r="L122" s="1" t="s">
        <v>71</v>
      </c>
      <c r="M122" s="3" t="s">
        <v>55</v>
      </c>
      <c r="N122" s="1" t="str">
        <f>INDEX(Table3[#All], MATCH(Table13[[#This Row],[Dept_Id]], Table3[[#All],[Dept_Id]], 0), 1)</f>
        <v>Quality Management</v>
      </c>
    </row>
    <row r="123" spans="1:14" x14ac:dyDescent="0.25">
      <c r="A123" s="2">
        <v>95280</v>
      </c>
      <c r="B123" s="1" t="s">
        <v>466</v>
      </c>
      <c r="C123" s="1" t="s">
        <v>467</v>
      </c>
      <c r="D123" s="1" t="s">
        <v>468</v>
      </c>
      <c r="E123" s="1" t="s">
        <v>33</v>
      </c>
      <c r="F123" s="1" t="s">
        <v>469</v>
      </c>
      <c r="G123" s="1">
        <v>10</v>
      </c>
      <c r="H123" s="1" t="s">
        <v>370</v>
      </c>
      <c r="I123" s="1">
        <v>0</v>
      </c>
      <c r="J123" s="1" t="s">
        <v>23</v>
      </c>
      <c r="K123" s="1">
        <v>40000</v>
      </c>
      <c r="L123" s="1" t="s">
        <v>24</v>
      </c>
      <c r="M123" s="3" t="s">
        <v>18</v>
      </c>
      <c r="N123" s="1" t="str">
        <f>INDEX(Table3[#All], MATCH(Table13[[#This Row],[Dept_Id]], Table3[[#All],[Dept_Id]], 0), 1)</f>
        <v>Production</v>
      </c>
    </row>
    <row r="124" spans="1:14" x14ac:dyDescent="0.25">
      <c r="A124" s="2">
        <v>10074</v>
      </c>
      <c r="B124" s="1" t="s">
        <v>470</v>
      </c>
      <c r="C124" s="1" t="s">
        <v>471</v>
      </c>
      <c r="D124" s="1" t="s">
        <v>472</v>
      </c>
      <c r="E124" s="1" t="s">
        <v>33</v>
      </c>
      <c r="F124" s="1" t="s">
        <v>473</v>
      </c>
      <c r="G124" s="1">
        <v>8</v>
      </c>
      <c r="H124" s="1" t="s">
        <v>138</v>
      </c>
      <c r="I124" s="1">
        <v>1</v>
      </c>
      <c r="J124" s="1" t="s">
        <v>474</v>
      </c>
      <c r="K124" s="1">
        <v>61714</v>
      </c>
      <c r="L124" s="1" t="s">
        <v>17</v>
      </c>
      <c r="M124" s="3" t="s">
        <v>156</v>
      </c>
      <c r="N124" s="1" t="str">
        <f>INDEX(Table3[#All], MATCH(Table13[[#This Row],[Dept_Id]], Table3[[#All],[Dept_Id]], 0), 1)</f>
        <v>Development</v>
      </c>
    </row>
    <row r="125" spans="1:14" x14ac:dyDescent="0.25">
      <c r="A125" s="2">
        <v>10075</v>
      </c>
      <c r="B125" s="1" t="s">
        <v>475</v>
      </c>
      <c r="C125" s="1" t="s">
        <v>476</v>
      </c>
      <c r="D125" s="1" t="s">
        <v>477</v>
      </c>
      <c r="E125" s="1" t="s">
        <v>33</v>
      </c>
      <c r="F125" s="1" t="s">
        <v>478</v>
      </c>
      <c r="G125" s="1">
        <v>4</v>
      </c>
      <c r="H125" s="1" t="s">
        <v>35</v>
      </c>
      <c r="I125" s="1">
        <v>0</v>
      </c>
      <c r="J125" s="1" t="s">
        <v>23</v>
      </c>
      <c r="K125" s="1">
        <v>43815</v>
      </c>
      <c r="L125" s="1" t="s">
        <v>17</v>
      </c>
      <c r="M125" s="3" t="s">
        <v>18</v>
      </c>
      <c r="N125" s="1" t="str">
        <f>INDEX(Table3[#All], MATCH(Table13[[#This Row],[Dept_Id]], Table3[[#All],[Dept_Id]], 0), 1)</f>
        <v>Development</v>
      </c>
    </row>
    <row r="126" spans="1:14" x14ac:dyDescent="0.25">
      <c r="A126" s="2">
        <v>37473</v>
      </c>
      <c r="B126" s="1" t="s">
        <v>479</v>
      </c>
      <c r="C126" s="1" t="s">
        <v>179</v>
      </c>
      <c r="D126" s="1" t="s">
        <v>480</v>
      </c>
      <c r="E126" s="1" t="s">
        <v>13</v>
      </c>
      <c r="F126" s="1" t="s">
        <v>481</v>
      </c>
      <c r="G126" s="1">
        <v>3</v>
      </c>
      <c r="H126" s="1" t="s">
        <v>138</v>
      </c>
      <c r="I126" s="1">
        <v>0</v>
      </c>
      <c r="J126" s="1" t="s">
        <v>23</v>
      </c>
      <c r="K126" s="1">
        <v>55963</v>
      </c>
      <c r="L126" s="1" t="s">
        <v>108</v>
      </c>
      <c r="M126" s="3" t="s">
        <v>41</v>
      </c>
      <c r="N126" s="1" t="str">
        <f>INDEX(Table3[#All], MATCH(Table13[[#This Row],[Dept_Id]], Table3[[#All],[Dept_Id]], 0), 1)</f>
        <v>Finance</v>
      </c>
    </row>
    <row r="127" spans="1:14" x14ac:dyDescent="0.25">
      <c r="A127" s="2">
        <v>10076</v>
      </c>
      <c r="B127" s="1" t="s">
        <v>482</v>
      </c>
      <c r="C127" s="1" t="s">
        <v>483</v>
      </c>
      <c r="D127" s="1" t="s">
        <v>484</v>
      </c>
      <c r="E127" s="1" t="s">
        <v>33</v>
      </c>
      <c r="F127" s="1" t="s">
        <v>485</v>
      </c>
      <c r="G127" s="1">
        <v>9</v>
      </c>
      <c r="H127" s="1" t="s">
        <v>35</v>
      </c>
      <c r="I127" s="1">
        <v>0</v>
      </c>
      <c r="J127" s="1" t="s">
        <v>23</v>
      </c>
      <c r="K127" s="1">
        <v>47319</v>
      </c>
      <c r="L127" s="1" t="s">
        <v>17</v>
      </c>
      <c r="M127" s="3" t="s">
        <v>18</v>
      </c>
      <c r="N127" s="1" t="str">
        <f>INDEX(Table3[#All], MATCH(Table13[[#This Row],[Dept_Id]], Table3[[#All],[Dept_Id]], 0), 1)</f>
        <v>Development</v>
      </c>
    </row>
    <row r="128" spans="1:14" x14ac:dyDescent="0.25">
      <c r="A128" s="2">
        <v>10077</v>
      </c>
      <c r="B128" s="1" t="s">
        <v>486</v>
      </c>
      <c r="C128" s="1" t="s">
        <v>487</v>
      </c>
      <c r="D128" s="1" t="s">
        <v>488</v>
      </c>
      <c r="E128" s="1" t="s">
        <v>13</v>
      </c>
      <c r="F128" s="1" t="s">
        <v>489</v>
      </c>
      <c r="G128" s="1">
        <v>2</v>
      </c>
      <c r="H128" s="1" t="s">
        <v>15</v>
      </c>
      <c r="I128" s="1">
        <v>0</v>
      </c>
      <c r="J128" s="1" t="s">
        <v>23</v>
      </c>
      <c r="K128" s="1">
        <v>40000</v>
      </c>
      <c r="L128" s="1" t="s">
        <v>46</v>
      </c>
      <c r="M128" s="3" t="s">
        <v>41</v>
      </c>
      <c r="N128" s="1" t="str">
        <f>INDEX(Table3[#All], MATCH(Table13[[#This Row],[Dept_Id]], Table3[[#All],[Dept_Id]], 0), 1)</f>
        <v>Human Resources</v>
      </c>
    </row>
    <row r="129" spans="1:14" x14ac:dyDescent="0.25">
      <c r="A129" s="2">
        <v>43471</v>
      </c>
      <c r="B129" s="1" t="s">
        <v>490</v>
      </c>
      <c r="C129" s="1" t="s">
        <v>491</v>
      </c>
      <c r="D129" s="1" t="s">
        <v>492</v>
      </c>
      <c r="E129" s="1" t="s">
        <v>33</v>
      </c>
      <c r="F129" s="1" t="s">
        <v>493</v>
      </c>
      <c r="G129" s="1">
        <v>6</v>
      </c>
      <c r="H129" s="1" t="s">
        <v>35</v>
      </c>
      <c r="I129" s="1">
        <v>1</v>
      </c>
      <c r="J129" s="1" t="s">
        <v>494</v>
      </c>
      <c r="K129" s="1">
        <v>40023</v>
      </c>
      <c r="L129" s="1" t="s">
        <v>24</v>
      </c>
      <c r="M129" s="3" t="s">
        <v>55</v>
      </c>
      <c r="N129" s="1" t="str">
        <f>INDEX(Table3[#All], MATCH(Table13[[#This Row],[Dept_Id]], Table3[[#All],[Dept_Id]], 0), 1)</f>
        <v>Production</v>
      </c>
    </row>
    <row r="130" spans="1:14" x14ac:dyDescent="0.25">
      <c r="A130" s="2">
        <v>10078</v>
      </c>
      <c r="B130" s="1" t="s">
        <v>495</v>
      </c>
      <c r="C130" s="1" t="s">
        <v>496</v>
      </c>
      <c r="D130" s="1" t="s">
        <v>497</v>
      </c>
      <c r="E130" s="1" t="s">
        <v>33</v>
      </c>
      <c r="F130" s="1" t="s">
        <v>498</v>
      </c>
      <c r="G130" s="1">
        <v>10</v>
      </c>
      <c r="H130" s="1" t="s">
        <v>29</v>
      </c>
      <c r="I130" s="1">
        <v>0</v>
      </c>
      <c r="J130" s="1" t="s">
        <v>23</v>
      </c>
      <c r="K130" s="1">
        <v>47280</v>
      </c>
      <c r="L130" s="1" t="s">
        <v>17</v>
      </c>
      <c r="M130" s="3" t="s">
        <v>55</v>
      </c>
      <c r="N130" s="1" t="str">
        <f>INDEX(Table3[#All], MATCH(Table13[[#This Row],[Dept_Id]], Table3[[#All],[Dept_Id]], 0), 1)</f>
        <v>Development</v>
      </c>
    </row>
    <row r="131" spans="1:14" x14ac:dyDescent="0.25">
      <c r="A131" s="2">
        <v>10079</v>
      </c>
      <c r="B131" s="1" t="s">
        <v>499</v>
      </c>
      <c r="C131" s="1" t="s">
        <v>500</v>
      </c>
      <c r="D131" s="1" t="s">
        <v>501</v>
      </c>
      <c r="E131" s="1" t="s">
        <v>33</v>
      </c>
      <c r="F131" s="1" t="s">
        <v>502</v>
      </c>
      <c r="G131" s="1">
        <v>2</v>
      </c>
      <c r="H131" s="1" t="s">
        <v>35</v>
      </c>
      <c r="I131" s="1">
        <v>0</v>
      </c>
      <c r="J131" s="1" t="s">
        <v>23</v>
      </c>
      <c r="K131" s="1">
        <v>53492</v>
      </c>
      <c r="L131" s="1" t="s">
        <v>17</v>
      </c>
      <c r="M131" s="3" t="s">
        <v>156</v>
      </c>
      <c r="N131" s="1" t="str">
        <f>INDEX(Table3[#All], MATCH(Table13[[#This Row],[Dept_Id]], Table3[[#All],[Dept_Id]], 0), 1)</f>
        <v>Development</v>
      </c>
    </row>
    <row r="132" spans="1:14" x14ac:dyDescent="0.25">
      <c r="A132" s="2">
        <v>289261</v>
      </c>
      <c r="B132" s="1" t="s">
        <v>503</v>
      </c>
      <c r="C132" s="1" t="s">
        <v>504</v>
      </c>
      <c r="D132" s="1" t="s">
        <v>505</v>
      </c>
      <c r="E132" s="1" t="s">
        <v>13</v>
      </c>
      <c r="F132" s="1" t="s">
        <v>506</v>
      </c>
      <c r="G132" s="1">
        <v>5</v>
      </c>
      <c r="H132" s="1" t="s">
        <v>35</v>
      </c>
      <c r="I132" s="1">
        <v>0</v>
      </c>
      <c r="J132" s="1" t="s">
        <v>23</v>
      </c>
      <c r="K132" s="1">
        <v>63068</v>
      </c>
      <c r="L132" s="1" t="s">
        <v>40</v>
      </c>
      <c r="M132" s="3" t="s">
        <v>41</v>
      </c>
      <c r="N132" s="1" t="str">
        <f>INDEX(Table3[#All], MATCH(Table13[[#This Row],[Dept_Id]], Table3[[#All],[Dept_Id]], 0), 1)</f>
        <v>Sales</v>
      </c>
    </row>
    <row r="133" spans="1:14" x14ac:dyDescent="0.25">
      <c r="A133" s="2">
        <v>10080</v>
      </c>
      <c r="B133" s="1" t="s">
        <v>507</v>
      </c>
      <c r="C133" s="1" t="s">
        <v>508</v>
      </c>
      <c r="D133" s="1" t="s">
        <v>509</v>
      </c>
      <c r="E133" s="1" t="s">
        <v>13</v>
      </c>
      <c r="F133" s="1" t="s">
        <v>510</v>
      </c>
      <c r="G133" s="1">
        <v>3</v>
      </c>
      <c r="H133" s="1" t="s">
        <v>29</v>
      </c>
      <c r="I133" s="1">
        <v>0</v>
      </c>
      <c r="J133" s="1" t="s">
        <v>23</v>
      </c>
      <c r="K133" s="1">
        <v>54916</v>
      </c>
      <c r="L133" s="1" t="s">
        <v>108</v>
      </c>
      <c r="M133" s="3" t="s">
        <v>41</v>
      </c>
      <c r="N133" s="1" t="str">
        <f>INDEX(Table3[#All], MATCH(Table13[[#This Row],[Dept_Id]], Table3[[#All],[Dept_Id]], 0), 1)</f>
        <v>Finance</v>
      </c>
    </row>
    <row r="134" spans="1:14" x14ac:dyDescent="0.25">
      <c r="A134" s="2">
        <v>10080</v>
      </c>
      <c r="B134" s="1" t="s">
        <v>507</v>
      </c>
      <c r="C134" s="1" t="s">
        <v>508</v>
      </c>
      <c r="D134" s="1" t="s">
        <v>509</v>
      </c>
      <c r="E134" s="1" t="s">
        <v>13</v>
      </c>
      <c r="F134" s="1" t="s">
        <v>510</v>
      </c>
      <c r="G134" s="1">
        <v>3</v>
      </c>
      <c r="H134" s="1" t="s">
        <v>29</v>
      </c>
      <c r="I134" s="1">
        <v>0</v>
      </c>
      <c r="J134" s="1" t="s">
        <v>23</v>
      </c>
      <c r="K134" s="1">
        <v>54916</v>
      </c>
      <c r="L134" s="1" t="s">
        <v>46</v>
      </c>
      <c r="M134" s="3" t="s">
        <v>41</v>
      </c>
      <c r="N134" s="1" t="str">
        <f>INDEX(Table3[#All], MATCH(Table13[[#This Row],[Dept_Id]], Table3[[#All],[Dept_Id]], 0), 1)</f>
        <v>Human Resources</v>
      </c>
    </row>
    <row r="135" spans="1:14" x14ac:dyDescent="0.25">
      <c r="A135" s="2">
        <v>26941</v>
      </c>
      <c r="B135" s="1" t="s">
        <v>511</v>
      </c>
      <c r="C135" s="1" t="s">
        <v>512</v>
      </c>
      <c r="D135" s="1" t="s">
        <v>513</v>
      </c>
      <c r="E135" s="1" t="s">
        <v>13</v>
      </c>
      <c r="F135" s="1" t="s">
        <v>514</v>
      </c>
      <c r="G135" s="1">
        <v>7</v>
      </c>
      <c r="H135" s="1" t="s">
        <v>15</v>
      </c>
      <c r="I135" s="1">
        <v>0</v>
      </c>
      <c r="J135" s="1" t="s">
        <v>23</v>
      </c>
      <c r="K135" s="1">
        <v>40000</v>
      </c>
      <c r="L135" s="1" t="s">
        <v>17</v>
      </c>
      <c r="M135" s="3" t="s">
        <v>18</v>
      </c>
      <c r="N135" s="1" t="str">
        <f>INDEX(Table3[#All], MATCH(Table13[[#This Row],[Dept_Id]], Table3[[#All],[Dept_Id]], 0), 1)</f>
        <v>Development</v>
      </c>
    </row>
    <row r="136" spans="1:14" x14ac:dyDescent="0.25">
      <c r="A136" s="2">
        <v>10081</v>
      </c>
      <c r="B136" s="1" t="s">
        <v>515</v>
      </c>
      <c r="C136" s="1" t="s">
        <v>516</v>
      </c>
      <c r="D136" s="1" t="s">
        <v>517</v>
      </c>
      <c r="E136" s="1" t="s">
        <v>13</v>
      </c>
      <c r="F136" s="1" t="s">
        <v>518</v>
      </c>
      <c r="G136" s="1">
        <v>5</v>
      </c>
      <c r="H136" s="1" t="s">
        <v>29</v>
      </c>
      <c r="I136" s="1">
        <v>0</v>
      </c>
      <c r="J136" s="1" t="s">
        <v>23</v>
      </c>
      <c r="K136" s="1">
        <v>55786</v>
      </c>
      <c r="L136" s="1" t="s">
        <v>24</v>
      </c>
      <c r="M136" s="3" t="s">
        <v>18</v>
      </c>
      <c r="N136" s="1" t="str">
        <f>INDEX(Table3[#All], MATCH(Table13[[#This Row],[Dept_Id]], Table3[[#All],[Dept_Id]], 0), 1)</f>
        <v>Production</v>
      </c>
    </row>
    <row r="137" spans="1:14" x14ac:dyDescent="0.25">
      <c r="A137" s="2">
        <v>10082</v>
      </c>
      <c r="B137" s="1" t="s">
        <v>519</v>
      </c>
      <c r="C137" s="1" t="s">
        <v>520</v>
      </c>
      <c r="D137" s="1" t="s">
        <v>255</v>
      </c>
      <c r="E137" s="1" t="s">
        <v>13</v>
      </c>
      <c r="F137" s="1" t="s">
        <v>521</v>
      </c>
      <c r="G137" s="1">
        <v>9</v>
      </c>
      <c r="H137" s="1" t="s">
        <v>15</v>
      </c>
      <c r="I137" s="1">
        <v>1</v>
      </c>
      <c r="J137" s="1" t="s">
        <v>522</v>
      </c>
      <c r="K137" s="1">
        <v>48935</v>
      </c>
      <c r="L137" s="1" t="s">
        <v>61</v>
      </c>
      <c r="M137" s="3" t="s">
        <v>41</v>
      </c>
      <c r="N137" s="1" t="str">
        <f>INDEX(Table3[#All], MATCH(Table13[[#This Row],[Dept_Id]], Table3[[#All],[Dept_Id]], 0), 1)</f>
        <v>Research</v>
      </c>
    </row>
    <row r="138" spans="1:14" x14ac:dyDescent="0.25">
      <c r="A138" s="2">
        <v>465253</v>
      </c>
      <c r="B138" s="1" t="s">
        <v>523</v>
      </c>
      <c r="C138" s="1" t="s">
        <v>524</v>
      </c>
      <c r="D138" s="1" t="s">
        <v>525</v>
      </c>
      <c r="E138" s="1" t="s">
        <v>33</v>
      </c>
      <c r="F138" s="1" t="s">
        <v>526</v>
      </c>
      <c r="G138" s="1">
        <v>5</v>
      </c>
      <c r="H138" s="1" t="s">
        <v>35</v>
      </c>
      <c r="I138" s="1">
        <v>0</v>
      </c>
      <c r="J138" s="1" t="s">
        <v>23</v>
      </c>
      <c r="K138" s="1">
        <v>43653</v>
      </c>
      <c r="L138" s="1" t="s">
        <v>24</v>
      </c>
      <c r="M138" s="3" t="s">
        <v>18</v>
      </c>
      <c r="N138" s="1" t="str">
        <f>INDEX(Table3[#All], MATCH(Table13[[#This Row],[Dept_Id]], Table3[[#All],[Dept_Id]], 0), 1)</f>
        <v>Production</v>
      </c>
    </row>
    <row r="139" spans="1:14" x14ac:dyDescent="0.25">
      <c r="A139" s="2">
        <v>10083</v>
      </c>
      <c r="B139" s="1" t="s">
        <v>527</v>
      </c>
      <c r="C139" s="1" t="s">
        <v>528</v>
      </c>
      <c r="D139" s="1" t="s">
        <v>529</v>
      </c>
      <c r="E139" s="1" t="s">
        <v>13</v>
      </c>
      <c r="F139" s="1" t="s">
        <v>530</v>
      </c>
      <c r="G139" s="1">
        <v>5</v>
      </c>
      <c r="H139" s="1" t="s">
        <v>15</v>
      </c>
      <c r="I139" s="1">
        <v>0</v>
      </c>
      <c r="J139" s="1" t="s">
        <v>23</v>
      </c>
      <c r="K139" s="1">
        <v>40000</v>
      </c>
      <c r="L139" s="1" t="s">
        <v>24</v>
      </c>
      <c r="M139" s="3" t="s">
        <v>18</v>
      </c>
      <c r="N139" s="1" t="str">
        <f>INDEX(Table3[#All], MATCH(Table13[[#This Row],[Dept_Id]], Table3[[#All],[Dept_Id]], 0), 1)</f>
        <v>Production</v>
      </c>
    </row>
    <row r="140" spans="1:14" x14ac:dyDescent="0.25">
      <c r="A140" s="2">
        <v>10084</v>
      </c>
      <c r="B140" s="1" t="s">
        <v>531</v>
      </c>
      <c r="C140" s="1" t="s">
        <v>532</v>
      </c>
      <c r="D140" s="1" t="s">
        <v>64</v>
      </c>
      <c r="E140" s="1" t="s">
        <v>13</v>
      </c>
      <c r="F140" s="1" t="s">
        <v>533</v>
      </c>
      <c r="G140" s="1">
        <v>7</v>
      </c>
      <c r="H140" s="1" t="s">
        <v>29</v>
      </c>
      <c r="I140" s="1">
        <v>0</v>
      </c>
      <c r="J140" s="1" t="s">
        <v>23</v>
      </c>
      <c r="K140" s="1">
        <v>69811</v>
      </c>
      <c r="L140" s="1" t="s">
        <v>24</v>
      </c>
      <c r="M140" s="3" t="s">
        <v>18</v>
      </c>
      <c r="N140" s="1" t="str">
        <f>INDEX(Table3[#All], MATCH(Table13[[#This Row],[Dept_Id]], Table3[[#All],[Dept_Id]], 0), 1)</f>
        <v>Production</v>
      </c>
    </row>
    <row r="141" spans="1:14" x14ac:dyDescent="0.25">
      <c r="A141" s="2">
        <v>444985</v>
      </c>
      <c r="B141" s="1" t="s">
        <v>534</v>
      </c>
      <c r="C141" s="1" t="s">
        <v>535</v>
      </c>
      <c r="D141" s="1" t="s">
        <v>536</v>
      </c>
      <c r="E141" s="1" t="s">
        <v>33</v>
      </c>
      <c r="F141" s="1" t="s">
        <v>537</v>
      </c>
      <c r="G141" s="1">
        <v>2</v>
      </c>
      <c r="H141" s="1" t="s">
        <v>35</v>
      </c>
      <c r="I141" s="1">
        <v>0</v>
      </c>
      <c r="J141" s="1" t="s">
        <v>23</v>
      </c>
      <c r="K141" s="1">
        <v>71042</v>
      </c>
      <c r="L141" s="1" t="s">
        <v>40</v>
      </c>
      <c r="M141" s="3" t="s">
        <v>41</v>
      </c>
      <c r="N141" s="1" t="str">
        <f>INDEX(Table3[#All], MATCH(Table13[[#This Row],[Dept_Id]], Table3[[#All],[Dept_Id]], 0), 1)</f>
        <v>Sales</v>
      </c>
    </row>
    <row r="142" spans="1:14" x14ac:dyDescent="0.25">
      <c r="A142" s="2">
        <v>10085</v>
      </c>
      <c r="B142" s="1" t="s">
        <v>538</v>
      </c>
      <c r="C142" s="1" t="s">
        <v>539</v>
      </c>
      <c r="D142" s="1" t="s">
        <v>540</v>
      </c>
      <c r="E142" s="1" t="s">
        <v>13</v>
      </c>
      <c r="F142" s="1" t="s">
        <v>541</v>
      </c>
      <c r="G142" s="1">
        <v>4</v>
      </c>
      <c r="H142" s="1" t="s">
        <v>29</v>
      </c>
      <c r="I142" s="1">
        <v>0</v>
      </c>
      <c r="J142" s="1" t="s">
        <v>23</v>
      </c>
      <c r="K142" s="1">
        <v>40000</v>
      </c>
      <c r="L142" s="1" t="s">
        <v>24</v>
      </c>
      <c r="M142" s="3" t="s">
        <v>18</v>
      </c>
      <c r="N142" s="1" t="str">
        <f>INDEX(Table3[#All], MATCH(Table13[[#This Row],[Dept_Id]], Table3[[#All],[Dept_Id]], 0), 1)</f>
        <v>Production</v>
      </c>
    </row>
    <row r="143" spans="1:14" x14ac:dyDescent="0.25">
      <c r="A143" s="2">
        <v>10086</v>
      </c>
      <c r="B143" s="1" t="s">
        <v>542</v>
      </c>
      <c r="C143" s="1" t="s">
        <v>543</v>
      </c>
      <c r="D143" s="1" t="s">
        <v>544</v>
      </c>
      <c r="E143" s="1" t="s">
        <v>13</v>
      </c>
      <c r="F143" s="1" t="s">
        <v>545</v>
      </c>
      <c r="G143" s="1">
        <v>1</v>
      </c>
      <c r="H143" s="1" t="s">
        <v>35</v>
      </c>
      <c r="I143" s="1">
        <v>0</v>
      </c>
      <c r="J143" s="1" t="s">
        <v>23</v>
      </c>
      <c r="K143" s="1">
        <v>81613</v>
      </c>
      <c r="L143" s="1" t="s">
        <v>46</v>
      </c>
      <c r="M143" s="3" t="s">
        <v>41</v>
      </c>
      <c r="N143" s="1" t="str">
        <f>INDEX(Table3[#All], MATCH(Table13[[#This Row],[Dept_Id]], Table3[[#All],[Dept_Id]], 0), 1)</f>
        <v>Human Resources</v>
      </c>
    </row>
    <row r="144" spans="1:14" x14ac:dyDescent="0.25">
      <c r="A144" s="2">
        <v>299898</v>
      </c>
      <c r="B144" s="1" t="s">
        <v>546</v>
      </c>
      <c r="C144" s="1" t="s">
        <v>547</v>
      </c>
      <c r="D144" s="1" t="s">
        <v>548</v>
      </c>
      <c r="E144" s="1" t="s">
        <v>13</v>
      </c>
      <c r="F144" s="1" t="s">
        <v>549</v>
      </c>
      <c r="G144" s="1">
        <v>8</v>
      </c>
      <c r="H144" s="1" t="s">
        <v>29</v>
      </c>
      <c r="I144" s="1">
        <v>0</v>
      </c>
      <c r="J144" s="1" t="s">
        <v>23</v>
      </c>
      <c r="K144" s="1">
        <v>63315</v>
      </c>
      <c r="L144" s="1" t="s">
        <v>125</v>
      </c>
      <c r="M144" s="3" t="s">
        <v>41</v>
      </c>
      <c r="N144" s="1" t="str">
        <f>INDEX(Table3[#All], MATCH(Table13[[#This Row],[Dept_Id]], Table3[[#All],[Dept_Id]], 0), 1)</f>
        <v>Marketing</v>
      </c>
    </row>
    <row r="145" spans="1:14" x14ac:dyDescent="0.25">
      <c r="A145" s="2">
        <v>10087</v>
      </c>
      <c r="B145" s="1" t="s">
        <v>527</v>
      </c>
      <c r="C145" s="1" t="s">
        <v>550</v>
      </c>
      <c r="D145" s="1" t="s">
        <v>551</v>
      </c>
      <c r="E145" s="1" t="s">
        <v>33</v>
      </c>
      <c r="F145" s="1" t="s">
        <v>552</v>
      </c>
      <c r="G145" s="1">
        <v>9</v>
      </c>
      <c r="H145" s="1" t="s">
        <v>29</v>
      </c>
      <c r="I145" s="1">
        <v>0</v>
      </c>
      <c r="J145" s="1" t="s">
        <v>23</v>
      </c>
      <c r="K145" s="1">
        <v>96750</v>
      </c>
      <c r="L145" s="1" t="s">
        <v>40</v>
      </c>
      <c r="M145" s="3" t="s">
        <v>41</v>
      </c>
      <c r="N145" s="1" t="str">
        <f>INDEX(Table3[#All], MATCH(Table13[[#This Row],[Dept_Id]], Table3[[#All],[Dept_Id]], 0), 1)</f>
        <v>Sales</v>
      </c>
    </row>
    <row r="146" spans="1:14" x14ac:dyDescent="0.25">
      <c r="A146" s="2">
        <v>10088</v>
      </c>
      <c r="B146" s="1" t="s">
        <v>553</v>
      </c>
      <c r="C146" s="1" t="s">
        <v>554</v>
      </c>
      <c r="D146" s="1" t="s">
        <v>555</v>
      </c>
      <c r="E146" s="1" t="s">
        <v>33</v>
      </c>
      <c r="F146" s="1" t="s">
        <v>556</v>
      </c>
      <c r="G146" s="1">
        <v>9</v>
      </c>
      <c r="H146" s="1" t="s">
        <v>29</v>
      </c>
      <c r="I146" s="1">
        <v>1</v>
      </c>
      <c r="J146" s="1" t="s">
        <v>557</v>
      </c>
      <c r="K146" s="1">
        <v>65957</v>
      </c>
      <c r="L146" s="1" t="s">
        <v>40</v>
      </c>
      <c r="M146" s="3" t="s">
        <v>41</v>
      </c>
      <c r="N146" s="1" t="str">
        <f>INDEX(Table3[#All], MATCH(Table13[[#This Row],[Dept_Id]], Table3[[#All],[Dept_Id]], 0), 1)</f>
        <v>Sales</v>
      </c>
    </row>
    <row r="147" spans="1:14" x14ac:dyDescent="0.25">
      <c r="A147" s="2">
        <v>10088</v>
      </c>
      <c r="B147" s="1" t="s">
        <v>553</v>
      </c>
      <c r="C147" s="1" t="s">
        <v>554</v>
      </c>
      <c r="D147" s="1" t="s">
        <v>555</v>
      </c>
      <c r="E147" s="1" t="s">
        <v>33</v>
      </c>
      <c r="F147" s="1" t="s">
        <v>556</v>
      </c>
      <c r="G147" s="1">
        <v>9</v>
      </c>
      <c r="H147" s="1" t="s">
        <v>29</v>
      </c>
      <c r="I147" s="1">
        <v>1</v>
      </c>
      <c r="J147" s="1" t="s">
        <v>557</v>
      </c>
      <c r="K147" s="1">
        <v>65957</v>
      </c>
      <c r="L147" s="1" t="s">
        <v>89</v>
      </c>
      <c r="M147" s="3" t="s">
        <v>41</v>
      </c>
      <c r="N147" s="1" t="str">
        <f>INDEX(Table3[#All], MATCH(Table13[[#This Row],[Dept_Id]], Table3[[#All],[Dept_Id]], 0), 1)</f>
        <v>Customer Service</v>
      </c>
    </row>
    <row r="148" spans="1:14" x14ac:dyDescent="0.25">
      <c r="A148" s="2">
        <v>10089</v>
      </c>
      <c r="B148" s="1" t="s">
        <v>558</v>
      </c>
      <c r="C148" s="1" t="s">
        <v>559</v>
      </c>
      <c r="D148" s="1" t="s">
        <v>560</v>
      </c>
      <c r="E148" s="1" t="s">
        <v>33</v>
      </c>
      <c r="F148" s="1" t="s">
        <v>561</v>
      </c>
      <c r="G148" s="1">
        <v>4</v>
      </c>
      <c r="H148" s="1" t="s">
        <v>15</v>
      </c>
      <c r="I148" s="1">
        <v>0</v>
      </c>
      <c r="J148" s="1" t="s">
        <v>23</v>
      </c>
      <c r="K148" s="1">
        <v>56469</v>
      </c>
      <c r="L148" s="1" t="s">
        <v>40</v>
      </c>
      <c r="M148" s="3" t="s">
        <v>41</v>
      </c>
      <c r="N148" s="1" t="str">
        <f>INDEX(Table3[#All], MATCH(Table13[[#This Row],[Dept_Id]], Table3[[#All],[Dept_Id]], 0), 1)</f>
        <v>Sales</v>
      </c>
    </row>
    <row r="149" spans="1:14" x14ac:dyDescent="0.25">
      <c r="A149" s="2">
        <v>425023</v>
      </c>
      <c r="B149" s="1" t="s">
        <v>562</v>
      </c>
      <c r="C149" s="1" t="s">
        <v>563</v>
      </c>
      <c r="D149" s="1" t="s">
        <v>564</v>
      </c>
      <c r="E149" s="1" t="s">
        <v>13</v>
      </c>
      <c r="F149" s="1" t="s">
        <v>565</v>
      </c>
      <c r="G149" s="1">
        <v>8</v>
      </c>
      <c r="H149" s="1" t="s">
        <v>15</v>
      </c>
      <c r="I149" s="1">
        <v>0</v>
      </c>
      <c r="J149" s="1" t="s">
        <v>23</v>
      </c>
      <c r="K149" s="1">
        <v>45682</v>
      </c>
      <c r="L149" s="1" t="s">
        <v>17</v>
      </c>
      <c r="M149" s="3" t="s">
        <v>18</v>
      </c>
      <c r="N149" s="1" t="str">
        <f>INDEX(Table3[#All], MATCH(Table13[[#This Row],[Dept_Id]], Table3[[#All],[Dept_Id]], 0), 1)</f>
        <v>Development</v>
      </c>
    </row>
    <row r="150" spans="1:14" x14ac:dyDescent="0.25">
      <c r="A150" s="2">
        <v>10090</v>
      </c>
      <c r="B150" s="1" t="s">
        <v>566</v>
      </c>
      <c r="C150" s="1" t="s">
        <v>567</v>
      </c>
      <c r="D150" s="1" t="s">
        <v>568</v>
      </c>
      <c r="E150" s="1" t="s">
        <v>13</v>
      </c>
      <c r="F150" s="1" t="s">
        <v>569</v>
      </c>
      <c r="G150" s="1">
        <v>7</v>
      </c>
      <c r="H150" s="1" t="s">
        <v>15</v>
      </c>
      <c r="I150" s="1">
        <v>0</v>
      </c>
      <c r="J150" s="1" t="s">
        <v>23</v>
      </c>
      <c r="K150" s="1">
        <v>44978</v>
      </c>
      <c r="L150" s="1" t="s">
        <v>17</v>
      </c>
      <c r="M150" s="3" t="s">
        <v>18</v>
      </c>
      <c r="N150" s="1" t="str">
        <f>INDEX(Table3[#All], MATCH(Table13[[#This Row],[Dept_Id]], Table3[[#All],[Dept_Id]], 0), 1)</f>
        <v>Development</v>
      </c>
    </row>
    <row r="151" spans="1:14" x14ac:dyDescent="0.25">
      <c r="A151" s="2">
        <v>10091</v>
      </c>
      <c r="B151" s="1" t="s">
        <v>570</v>
      </c>
      <c r="C151" s="1" t="s">
        <v>571</v>
      </c>
      <c r="D151" s="1" t="s">
        <v>572</v>
      </c>
      <c r="E151" s="1" t="s">
        <v>13</v>
      </c>
      <c r="F151" s="1" t="s">
        <v>573</v>
      </c>
      <c r="G151" s="1">
        <v>5</v>
      </c>
      <c r="H151" s="1" t="s">
        <v>29</v>
      </c>
      <c r="I151" s="1">
        <v>0</v>
      </c>
      <c r="J151" s="1" t="s">
        <v>23</v>
      </c>
      <c r="K151" s="1">
        <v>40000</v>
      </c>
      <c r="L151" s="1" t="s">
        <v>17</v>
      </c>
      <c r="M151" s="3" t="s">
        <v>18</v>
      </c>
      <c r="N151" s="1" t="str">
        <f>INDEX(Table3[#All], MATCH(Table13[[#This Row],[Dept_Id]], Table3[[#All],[Dept_Id]], 0), 1)</f>
        <v>Development</v>
      </c>
    </row>
    <row r="152" spans="1:14" x14ac:dyDescent="0.25">
      <c r="A152" s="2">
        <v>411614</v>
      </c>
      <c r="B152" s="1" t="s">
        <v>574</v>
      </c>
      <c r="C152" s="1" t="s">
        <v>575</v>
      </c>
      <c r="D152" s="1" t="s">
        <v>576</v>
      </c>
      <c r="E152" s="1" t="s">
        <v>13</v>
      </c>
      <c r="F152" s="1" t="s">
        <v>577</v>
      </c>
      <c r="G152" s="1">
        <v>1</v>
      </c>
      <c r="H152" s="1" t="s">
        <v>35</v>
      </c>
      <c r="I152" s="1">
        <v>0</v>
      </c>
      <c r="J152" s="1" t="s">
        <v>23</v>
      </c>
      <c r="K152" s="1">
        <v>54770</v>
      </c>
      <c r="L152" s="1" t="s">
        <v>17</v>
      </c>
      <c r="M152" s="3" t="s">
        <v>18</v>
      </c>
      <c r="N152" s="1" t="str">
        <f>INDEX(Table3[#All], MATCH(Table13[[#This Row],[Dept_Id]], Table3[[#All],[Dept_Id]], 0), 1)</f>
        <v>Development</v>
      </c>
    </row>
    <row r="153" spans="1:14" x14ac:dyDescent="0.25">
      <c r="A153" s="2">
        <v>10092</v>
      </c>
      <c r="B153" s="1" t="s">
        <v>578</v>
      </c>
      <c r="C153" s="1" t="s">
        <v>579</v>
      </c>
      <c r="D153" s="1" t="s">
        <v>580</v>
      </c>
      <c r="E153" s="1" t="s">
        <v>33</v>
      </c>
      <c r="F153" s="1" t="s">
        <v>581</v>
      </c>
      <c r="G153" s="1">
        <v>10</v>
      </c>
      <c r="H153" s="1" t="s">
        <v>15</v>
      </c>
      <c r="I153" s="1">
        <v>0</v>
      </c>
      <c r="J153" s="1" t="s">
        <v>23</v>
      </c>
      <c r="K153" s="1">
        <v>53977</v>
      </c>
      <c r="L153" s="1" t="s">
        <v>17</v>
      </c>
      <c r="M153" s="3" t="s">
        <v>55</v>
      </c>
      <c r="N153" s="1" t="str">
        <f>INDEX(Table3[#All], MATCH(Table13[[#This Row],[Dept_Id]], Table3[[#All],[Dept_Id]], 0), 1)</f>
        <v>Development</v>
      </c>
    </row>
    <row r="154" spans="1:14" x14ac:dyDescent="0.25">
      <c r="A154" s="2">
        <v>10093</v>
      </c>
      <c r="B154" s="1" t="s">
        <v>582</v>
      </c>
      <c r="C154" s="1" t="s">
        <v>583</v>
      </c>
      <c r="D154" s="1" t="s">
        <v>584</v>
      </c>
      <c r="E154" s="1" t="s">
        <v>13</v>
      </c>
      <c r="F154" s="1" t="s">
        <v>585</v>
      </c>
      <c r="G154" s="1">
        <v>8</v>
      </c>
      <c r="H154" s="1" t="s">
        <v>35</v>
      </c>
      <c r="I154" s="1">
        <v>0</v>
      </c>
      <c r="J154" s="1" t="s">
        <v>23</v>
      </c>
      <c r="K154" s="1">
        <v>67856</v>
      </c>
      <c r="L154" s="1" t="s">
        <v>40</v>
      </c>
      <c r="M154" s="3" t="s">
        <v>41</v>
      </c>
      <c r="N154" s="1" t="str">
        <f>INDEX(Table3[#All], MATCH(Table13[[#This Row],[Dept_Id]], Table3[[#All],[Dept_Id]], 0), 1)</f>
        <v>Sales</v>
      </c>
    </row>
    <row r="155" spans="1:14" x14ac:dyDescent="0.25">
      <c r="A155" s="2">
        <v>425656</v>
      </c>
      <c r="B155" s="1" t="s">
        <v>586</v>
      </c>
      <c r="C155" s="1" t="s">
        <v>587</v>
      </c>
      <c r="D155" s="1" t="s">
        <v>588</v>
      </c>
      <c r="E155" s="1" t="s">
        <v>13</v>
      </c>
      <c r="F155" s="1" t="s">
        <v>589</v>
      </c>
      <c r="G155" s="1">
        <v>4</v>
      </c>
      <c r="H155" s="1" t="s">
        <v>35</v>
      </c>
      <c r="I155" s="1">
        <v>0</v>
      </c>
      <c r="J155" s="1" t="s">
        <v>23</v>
      </c>
      <c r="K155" s="1">
        <v>40000</v>
      </c>
      <c r="L155" s="1" t="s">
        <v>61</v>
      </c>
      <c r="M155" s="3" t="s">
        <v>41</v>
      </c>
      <c r="N155" s="1" t="str">
        <f>INDEX(Table3[#All], MATCH(Table13[[#This Row],[Dept_Id]], Table3[[#All],[Dept_Id]], 0), 1)</f>
        <v>Research</v>
      </c>
    </row>
    <row r="156" spans="1:14" x14ac:dyDescent="0.25">
      <c r="A156" s="2">
        <v>10094</v>
      </c>
      <c r="B156" s="1" t="s">
        <v>590</v>
      </c>
      <c r="C156" s="1" t="s">
        <v>591</v>
      </c>
      <c r="D156" s="1" t="s">
        <v>592</v>
      </c>
      <c r="E156" s="1" t="s">
        <v>33</v>
      </c>
      <c r="F156" s="1" t="s">
        <v>593</v>
      </c>
      <c r="G156" s="1">
        <v>10</v>
      </c>
      <c r="H156" s="1" t="s">
        <v>35</v>
      </c>
      <c r="I156" s="1">
        <v>0</v>
      </c>
      <c r="J156" s="1" t="s">
        <v>23</v>
      </c>
      <c r="K156" s="1">
        <v>58001</v>
      </c>
      <c r="L156" s="1" t="s">
        <v>61</v>
      </c>
      <c r="M156" s="3" t="s">
        <v>102</v>
      </c>
      <c r="N156" s="1" t="str">
        <f>INDEX(Table3[#All], MATCH(Table13[[#This Row],[Dept_Id]], Table3[[#All],[Dept_Id]], 0), 1)</f>
        <v>Research</v>
      </c>
    </row>
    <row r="157" spans="1:14" x14ac:dyDescent="0.25">
      <c r="A157" s="2">
        <v>10095</v>
      </c>
      <c r="B157" s="1" t="s">
        <v>594</v>
      </c>
      <c r="C157" s="1" t="s">
        <v>595</v>
      </c>
      <c r="D157" s="1" t="s">
        <v>596</v>
      </c>
      <c r="E157" s="1" t="s">
        <v>13</v>
      </c>
      <c r="F157" s="1" t="s">
        <v>597</v>
      </c>
      <c r="G157" s="1">
        <v>8</v>
      </c>
      <c r="H157" s="1" t="s">
        <v>15</v>
      </c>
      <c r="I157" s="1">
        <v>0</v>
      </c>
      <c r="J157" s="1" t="s">
        <v>23</v>
      </c>
      <c r="K157" s="1">
        <v>63668</v>
      </c>
      <c r="L157" s="1" t="s">
        <v>40</v>
      </c>
      <c r="M157" s="3" t="s">
        <v>41</v>
      </c>
      <c r="N157" s="1" t="str">
        <f>INDEX(Table3[#All], MATCH(Table13[[#This Row],[Dept_Id]], Table3[[#All],[Dept_Id]], 0), 1)</f>
        <v>Sales</v>
      </c>
    </row>
    <row r="158" spans="1:14" x14ac:dyDescent="0.25">
      <c r="A158" s="2">
        <v>252000</v>
      </c>
      <c r="B158" s="1" t="s">
        <v>598</v>
      </c>
      <c r="C158" s="1" t="s">
        <v>599</v>
      </c>
      <c r="D158" s="1" t="s">
        <v>600</v>
      </c>
      <c r="E158" s="1" t="s">
        <v>33</v>
      </c>
      <c r="F158" s="1" t="s">
        <v>601</v>
      </c>
      <c r="G158" s="1">
        <v>10</v>
      </c>
      <c r="H158" s="1" t="s">
        <v>35</v>
      </c>
      <c r="I158" s="1">
        <v>0</v>
      </c>
      <c r="J158" s="1" t="s">
        <v>23</v>
      </c>
      <c r="K158" s="1">
        <v>40000</v>
      </c>
      <c r="L158" s="1" t="s">
        <v>71</v>
      </c>
      <c r="M158" s="3" t="s">
        <v>66</v>
      </c>
      <c r="N158" s="1" t="str">
        <f>INDEX(Table3[#All], MATCH(Table13[[#This Row],[Dept_Id]], Table3[[#All],[Dept_Id]], 0), 1)</f>
        <v>Quality Management</v>
      </c>
    </row>
    <row r="159" spans="1:14" x14ac:dyDescent="0.25">
      <c r="A159" s="2">
        <v>10096</v>
      </c>
      <c r="B159" s="1" t="s">
        <v>602</v>
      </c>
      <c r="C159" s="1" t="s">
        <v>603</v>
      </c>
      <c r="D159" s="1" t="s">
        <v>604</v>
      </c>
      <c r="E159" s="1" t="s">
        <v>13</v>
      </c>
      <c r="F159" s="1" t="s">
        <v>605</v>
      </c>
      <c r="G159" s="1">
        <v>1</v>
      </c>
      <c r="H159" s="1" t="s">
        <v>370</v>
      </c>
      <c r="I159" s="1">
        <v>0</v>
      </c>
      <c r="J159" s="1" t="s">
        <v>23</v>
      </c>
      <c r="K159" s="1">
        <v>61395</v>
      </c>
      <c r="L159" s="1" t="s">
        <v>24</v>
      </c>
      <c r="M159" s="3" t="s">
        <v>55</v>
      </c>
      <c r="N159" s="1" t="str">
        <f>INDEX(Table3[#All], MATCH(Table13[[#This Row],[Dept_Id]], Table3[[#All],[Dept_Id]], 0), 1)</f>
        <v>Production</v>
      </c>
    </row>
    <row r="160" spans="1:14" x14ac:dyDescent="0.25">
      <c r="A160" s="2">
        <v>10097</v>
      </c>
      <c r="B160" s="1" t="s">
        <v>606</v>
      </c>
      <c r="C160" s="1" t="s">
        <v>607</v>
      </c>
      <c r="D160" s="1" t="s">
        <v>608</v>
      </c>
      <c r="E160" s="1" t="s">
        <v>13</v>
      </c>
      <c r="F160" s="1" t="s">
        <v>609</v>
      </c>
      <c r="G160" s="1">
        <v>2</v>
      </c>
      <c r="H160" s="1" t="s">
        <v>29</v>
      </c>
      <c r="I160" s="1">
        <v>0</v>
      </c>
      <c r="J160" s="1" t="s">
        <v>23</v>
      </c>
      <c r="K160" s="1">
        <v>44886</v>
      </c>
      <c r="L160" s="1" t="s">
        <v>61</v>
      </c>
      <c r="M160" s="3" t="s">
        <v>41</v>
      </c>
      <c r="N160" s="1" t="str">
        <f>INDEX(Table3[#All], MATCH(Table13[[#This Row],[Dept_Id]], Table3[[#All],[Dept_Id]], 0), 1)</f>
        <v>Research</v>
      </c>
    </row>
    <row r="161" spans="1:14" x14ac:dyDescent="0.25">
      <c r="A161" s="2">
        <v>10098</v>
      </c>
      <c r="B161" s="1" t="s">
        <v>610</v>
      </c>
      <c r="C161" s="1" t="s">
        <v>611</v>
      </c>
      <c r="D161" s="1" t="s">
        <v>612</v>
      </c>
      <c r="E161" s="1" t="s">
        <v>33</v>
      </c>
      <c r="F161" s="1" t="s">
        <v>613</v>
      </c>
      <c r="G161" s="1">
        <v>4</v>
      </c>
      <c r="H161" s="1" t="s">
        <v>29</v>
      </c>
      <c r="I161" s="1">
        <v>0</v>
      </c>
      <c r="J161" s="1" t="s">
        <v>23</v>
      </c>
      <c r="K161" s="1">
        <v>40000</v>
      </c>
      <c r="L161" s="1" t="s">
        <v>24</v>
      </c>
      <c r="M161" s="3" t="s">
        <v>18</v>
      </c>
      <c r="N161" s="1" t="str">
        <f>INDEX(Table3[#All], MATCH(Table13[[#This Row],[Dept_Id]], Table3[[#All],[Dept_Id]], 0), 1)</f>
        <v>Production</v>
      </c>
    </row>
    <row r="162" spans="1:14" x14ac:dyDescent="0.25">
      <c r="A162" s="2">
        <v>10098</v>
      </c>
      <c r="B162" s="1" t="s">
        <v>610</v>
      </c>
      <c r="C162" s="1" t="s">
        <v>611</v>
      </c>
      <c r="D162" s="1" t="s">
        <v>612</v>
      </c>
      <c r="E162" s="1" t="s">
        <v>33</v>
      </c>
      <c r="F162" s="1" t="s">
        <v>613</v>
      </c>
      <c r="G162" s="1">
        <v>4</v>
      </c>
      <c r="H162" s="1" t="s">
        <v>29</v>
      </c>
      <c r="I162" s="1">
        <v>0</v>
      </c>
      <c r="J162" s="1" t="s">
        <v>23</v>
      </c>
      <c r="K162" s="1">
        <v>40000</v>
      </c>
      <c r="L162" s="1" t="s">
        <v>89</v>
      </c>
      <c r="M162" s="3" t="s">
        <v>18</v>
      </c>
      <c r="N162" s="1" t="str">
        <f>INDEX(Table3[#All], MATCH(Table13[[#This Row],[Dept_Id]], Table3[[#All],[Dept_Id]], 0), 1)</f>
        <v>Customer Service</v>
      </c>
    </row>
    <row r="163" spans="1:14" x14ac:dyDescent="0.25">
      <c r="A163" s="2">
        <v>103676</v>
      </c>
      <c r="B163" s="1" t="s">
        <v>614</v>
      </c>
      <c r="C163" s="1" t="s">
        <v>615</v>
      </c>
      <c r="D163" s="1" t="s">
        <v>616</v>
      </c>
      <c r="E163" s="1" t="s">
        <v>33</v>
      </c>
      <c r="F163" s="1" t="s">
        <v>617</v>
      </c>
      <c r="G163" s="1">
        <v>3</v>
      </c>
      <c r="H163" s="1" t="s">
        <v>35</v>
      </c>
      <c r="I163" s="1">
        <v>0</v>
      </c>
      <c r="J163" s="1" t="s">
        <v>23</v>
      </c>
      <c r="K163" s="1">
        <v>62128</v>
      </c>
      <c r="L163" s="1" t="s">
        <v>24</v>
      </c>
      <c r="M163" s="3" t="s">
        <v>18</v>
      </c>
      <c r="N163" s="1" t="str">
        <f>INDEX(Table3[#All], MATCH(Table13[[#This Row],[Dept_Id]], Table3[[#All],[Dept_Id]], 0), 1)</f>
        <v>Production</v>
      </c>
    </row>
    <row r="164" spans="1:14" x14ac:dyDescent="0.25">
      <c r="A164" s="2">
        <v>103676</v>
      </c>
      <c r="B164" s="1" t="s">
        <v>614</v>
      </c>
      <c r="C164" s="1" t="s">
        <v>615</v>
      </c>
      <c r="D164" s="1" t="s">
        <v>616</v>
      </c>
      <c r="E164" s="1" t="s">
        <v>33</v>
      </c>
      <c r="F164" s="1" t="s">
        <v>617</v>
      </c>
      <c r="G164" s="1">
        <v>3</v>
      </c>
      <c r="H164" s="1" t="s">
        <v>35</v>
      </c>
      <c r="I164" s="1">
        <v>0</v>
      </c>
      <c r="J164" s="1" t="s">
        <v>23</v>
      </c>
      <c r="K164" s="1">
        <v>62128</v>
      </c>
      <c r="L164" s="1" t="s">
        <v>17</v>
      </c>
      <c r="M164" s="3" t="s">
        <v>18</v>
      </c>
      <c r="N164" s="1" t="str">
        <f>INDEX(Table3[#All], MATCH(Table13[[#This Row],[Dept_Id]], Table3[[#All],[Dept_Id]], 0), 1)</f>
        <v>Development</v>
      </c>
    </row>
    <row r="165" spans="1:14" x14ac:dyDescent="0.25">
      <c r="A165" s="2">
        <v>10099</v>
      </c>
      <c r="B165" s="1" t="s">
        <v>618</v>
      </c>
      <c r="C165" s="1" t="s">
        <v>619</v>
      </c>
      <c r="D165" s="1" t="s">
        <v>620</v>
      </c>
      <c r="E165" s="1" t="s">
        <v>33</v>
      </c>
      <c r="F165" s="1" t="s">
        <v>621</v>
      </c>
      <c r="G165" s="1">
        <v>5</v>
      </c>
      <c r="H165" s="1" t="s">
        <v>15</v>
      </c>
      <c r="I165" s="1">
        <v>0</v>
      </c>
      <c r="J165" s="1" t="s">
        <v>23</v>
      </c>
      <c r="K165" s="1">
        <v>68781</v>
      </c>
      <c r="L165" s="1" t="s">
        <v>40</v>
      </c>
      <c r="M165" s="3" t="s">
        <v>41</v>
      </c>
      <c r="N165" s="1" t="str">
        <f>INDEX(Table3[#All], MATCH(Table13[[#This Row],[Dept_Id]], Table3[[#All],[Dept_Id]], 0), 1)</f>
        <v>Sales</v>
      </c>
    </row>
    <row r="166" spans="1:14" x14ac:dyDescent="0.25">
      <c r="A166" s="2">
        <v>10100</v>
      </c>
      <c r="B166" s="1" t="s">
        <v>622</v>
      </c>
      <c r="C166" s="1" t="s">
        <v>623</v>
      </c>
      <c r="D166" s="1" t="s">
        <v>624</v>
      </c>
      <c r="E166" s="1" t="s">
        <v>33</v>
      </c>
      <c r="F166" s="1" t="s">
        <v>625</v>
      </c>
      <c r="G166" s="1">
        <v>6</v>
      </c>
      <c r="H166" s="1" t="s">
        <v>35</v>
      </c>
      <c r="I166" s="1">
        <v>0</v>
      </c>
      <c r="J166" s="1" t="s">
        <v>23</v>
      </c>
      <c r="K166" s="1">
        <v>54398</v>
      </c>
      <c r="L166" s="1" t="s">
        <v>46</v>
      </c>
      <c r="M166" s="3" t="s">
        <v>41</v>
      </c>
      <c r="N166" s="1" t="str">
        <f>INDEX(Table3[#All], MATCH(Table13[[#This Row],[Dept_Id]], Table3[[#All],[Dept_Id]], 0), 1)</f>
        <v>Human Resources</v>
      </c>
    </row>
    <row r="167" spans="1:14" x14ac:dyDescent="0.25">
      <c r="A167" s="2">
        <v>93916</v>
      </c>
      <c r="B167" s="1" t="s">
        <v>295</v>
      </c>
      <c r="C167" s="1" t="s">
        <v>626</v>
      </c>
      <c r="D167" s="1" t="s">
        <v>627</v>
      </c>
      <c r="E167" s="1" t="s">
        <v>33</v>
      </c>
      <c r="F167" s="1" t="s">
        <v>628</v>
      </c>
      <c r="G167" s="1">
        <v>3</v>
      </c>
      <c r="H167" s="1" t="s">
        <v>35</v>
      </c>
      <c r="I167" s="1">
        <v>0</v>
      </c>
      <c r="J167" s="1" t="s">
        <v>23</v>
      </c>
      <c r="K167" s="1">
        <v>53040</v>
      </c>
      <c r="L167" s="1" t="s">
        <v>17</v>
      </c>
      <c r="M167" s="3" t="s">
        <v>55</v>
      </c>
      <c r="N167" s="1" t="str">
        <f>INDEX(Table3[#All], MATCH(Table13[[#This Row],[Dept_Id]], Table3[[#All],[Dept_Id]], 0), 1)</f>
        <v>Development</v>
      </c>
    </row>
    <row r="168" spans="1:14" x14ac:dyDescent="0.25">
      <c r="A168" s="2">
        <v>93916</v>
      </c>
      <c r="B168" s="1" t="s">
        <v>295</v>
      </c>
      <c r="C168" s="1" t="s">
        <v>626</v>
      </c>
      <c r="D168" s="1" t="s">
        <v>627</v>
      </c>
      <c r="E168" s="1" t="s">
        <v>33</v>
      </c>
      <c r="F168" s="1" t="s">
        <v>628</v>
      </c>
      <c r="G168" s="1">
        <v>3</v>
      </c>
      <c r="H168" s="1" t="s">
        <v>35</v>
      </c>
      <c r="I168" s="1">
        <v>0</v>
      </c>
      <c r="J168" s="1" t="s">
        <v>23</v>
      </c>
      <c r="K168" s="1">
        <v>53040</v>
      </c>
      <c r="L168" s="1" t="s">
        <v>61</v>
      </c>
      <c r="M168" s="3" t="s">
        <v>55</v>
      </c>
      <c r="N168" s="1" t="str">
        <f>INDEX(Table3[#All], MATCH(Table13[[#This Row],[Dept_Id]], Table3[[#All],[Dept_Id]], 0), 1)</f>
        <v>Research</v>
      </c>
    </row>
    <row r="169" spans="1:14" x14ac:dyDescent="0.25">
      <c r="A169" s="2">
        <v>10101</v>
      </c>
      <c r="B169" s="1" t="s">
        <v>629</v>
      </c>
      <c r="C169" s="1" t="s">
        <v>630</v>
      </c>
      <c r="D169" s="1" t="s">
        <v>180</v>
      </c>
      <c r="E169" s="1" t="s">
        <v>33</v>
      </c>
      <c r="F169" s="1" t="s">
        <v>631</v>
      </c>
      <c r="G169" s="1">
        <v>9</v>
      </c>
      <c r="H169" s="1" t="s">
        <v>35</v>
      </c>
      <c r="I169" s="1">
        <v>0</v>
      </c>
      <c r="J169" s="1" t="s">
        <v>23</v>
      </c>
      <c r="K169" s="1">
        <v>66591</v>
      </c>
      <c r="L169" s="1" t="s">
        <v>40</v>
      </c>
      <c r="M169" s="3" t="s">
        <v>41</v>
      </c>
      <c r="N169" s="1" t="str">
        <f>INDEX(Table3[#All], MATCH(Table13[[#This Row],[Dept_Id]], Table3[[#All],[Dept_Id]], 0), 1)</f>
        <v>Sales</v>
      </c>
    </row>
    <row r="170" spans="1:14" x14ac:dyDescent="0.25">
      <c r="A170" s="2">
        <v>10102</v>
      </c>
      <c r="B170" s="1" t="s">
        <v>632</v>
      </c>
      <c r="C170" s="1" t="s">
        <v>633</v>
      </c>
      <c r="D170" s="1" t="s">
        <v>634</v>
      </c>
      <c r="E170" s="1" t="s">
        <v>33</v>
      </c>
      <c r="F170" s="1" t="s">
        <v>635</v>
      </c>
      <c r="G170" s="1">
        <v>3</v>
      </c>
      <c r="H170" s="1" t="s">
        <v>29</v>
      </c>
      <c r="I170" s="1">
        <v>1</v>
      </c>
      <c r="J170" s="1" t="s">
        <v>636</v>
      </c>
      <c r="K170" s="1">
        <v>44380</v>
      </c>
      <c r="L170" s="1" t="s">
        <v>24</v>
      </c>
      <c r="M170" s="3" t="s">
        <v>55</v>
      </c>
      <c r="N170" s="1" t="str">
        <f>INDEX(Table3[#All], MATCH(Table13[[#This Row],[Dept_Id]], Table3[[#All],[Dept_Id]], 0), 1)</f>
        <v>Production</v>
      </c>
    </row>
    <row r="171" spans="1:14" x14ac:dyDescent="0.25">
      <c r="A171" s="2">
        <v>430653</v>
      </c>
      <c r="B171" s="1" t="s">
        <v>637</v>
      </c>
      <c r="C171" s="1" t="s">
        <v>638</v>
      </c>
      <c r="D171" s="1" t="s">
        <v>639</v>
      </c>
      <c r="E171" s="1" t="s">
        <v>33</v>
      </c>
      <c r="F171" s="1" t="s">
        <v>640</v>
      </c>
      <c r="G171" s="1">
        <v>4</v>
      </c>
      <c r="H171" s="1" t="s">
        <v>29</v>
      </c>
      <c r="I171" s="1">
        <v>0</v>
      </c>
      <c r="J171" s="1" t="s">
        <v>23</v>
      </c>
      <c r="K171" s="1">
        <v>69077</v>
      </c>
      <c r="L171" s="1" t="s">
        <v>17</v>
      </c>
      <c r="M171" s="3" t="s">
        <v>18</v>
      </c>
      <c r="N171" s="1" t="str">
        <f>INDEX(Table3[#All], MATCH(Table13[[#This Row],[Dept_Id]], Table3[[#All],[Dept_Id]], 0), 1)</f>
        <v>Development</v>
      </c>
    </row>
    <row r="172" spans="1:14" x14ac:dyDescent="0.25">
      <c r="A172" s="2">
        <v>10103</v>
      </c>
      <c r="B172" s="1" t="s">
        <v>641</v>
      </c>
      <c r="C172" s="1" t="s">
        <v>642</v>
      </c>
      <c r="D172" s="1" t="s">
        <v>643</v>
      </c>
      <c r="E172" s="1" t="s">
        <v>13</v>
      </c>
      <c r="F172" s="1" t="s">
        <v>644</v>
      </c>
      <c r="G172" s="1">
        <v>5</v>
      </c>
      <c r="H172" s="1" t="s">
        <v>35</v>
      </c>
      <c r="I172" s="1">
        <v>0</v>
      </c>
      <c r="J172" s="1" t="s">
        <v>23</v>
      </c>
      <c r="K172" s="1">
        <v>68158</v>
      </c>
      <c r="L172" s="1" t="s">
        <v>17</v>
      </c>
      <c r="M172" s="3" t="s">
        <v>55</v>
      </c>
      <c r="N172" s="1" t="str">
        <f>INDEX(Table3[#All], MATCH(Table13[[#This Row],[Dept_Id]], Table3[[#All],[Dept_Id]], 0), 1)</f>
        <v>Development</v>
      </c>
    </row>
    <row r="173" spans="1:14" x14ac:dyDescent="0.25">
      <c r="A173" s="2">
        <v>10104</v>
      </c>
      <c r="B173" s="1" t="s">
        <v>645</v>
      </c>
      <c r="C173" s="1" t="s">
        <v>646</v>
      </c>
      <c r="D173" s="1" t="s">
        <v>145</v>
      </c>
      <c r="E173" s="1" t="s">
        <v>13</v>
      </c>
      <c r="F173" s="1" t="s">
        <v>647</v>
      </c>
      <c r="G173" s="1">
        <v>5</v>
      </c>
      <c r="H173" s="1" t="s">
        <v>35</v>
      </c>
      <c r="I173" s="1">
        <v>0</v>
      </c>
      <c r="J173" s="1" t="s">
        <v>23</v>
      </c>
      <c r="K173" s="1">
        <v>45312</v>
      </c>
      <c r="L173" s="1" t="s">
        <v>61</v>
      </c>
      <c r="M173" s="3" t="s">
        <v>102</v>
      </c>
      <c r="N173" s="1" t="str">
        <f>INDEX(Table3[#All], MATCH(Table13[[#This Row],[Dept_Id]], Table3[[#All],[Dept_Id]], 0), 1)</f>
        <v>Research</v>
      </c>
    </row>
    <row r="174" spans="1:14" x14ac:dyDescent="0.25">
      <c r="A174" s="2">
        <v>293744</v>
      </c>
      <c r="B174" s="1" t="s">
        <v>648</v>
      </c>
      <c r="C174" s="1" t="s">
        <v>649</v>
      </c>
      <c r="D174" s="1" t="s">
        <v>650</v>
      </c>
      <c r="E174" s="1" t="s">
        <v>13</v>
      </c>
      <c r="F174" s="1" t="s">
        <v>651</v>
      </c>
      <c r="G174" s="1">
        <v>2</v>
      </c>
      <c r="H174" s="1" t="s">
        <v>35</v>
      </c>
      <c r="I174" s="1">
        <v>0</v>
      </c>
      <c r="J174" s="1" t="s">
        <v>23</v>
      </c>
      <c r="K174" s="1">
        <v>40000</v>
      </c>
      <c r="L174" s="1" t="s">
        <v>108</v>
      </c>
      <c r="M174" s="3" t="s">
        <v>41</v>
      </c>
      <c r="N174" s="1" t="str">
        <f>INDEX(Table3[#All], MATCH(Table13[[#This Row],[Dept_Id]], Table3[[#All],[Dept_Id]], 0), 1)</f>
        <v>Finance</v>
      </c>
    </row>
    <row r="175" spans="1:14" x14ac:dyDescent="0.25">
      <c r="A175" s="2">
        <v>293744</v>
      </c>
      <c r="B175" s="1" t="s">
        <v>648</v>
      </c>
      <c r="C175" s="1" t="s">
        <v>649</v>
      </c>
      <c r="D175" s="1" t="s">
        <v>650</v>
      </c>
      <c r="E175" s="1" t="s">
        <v>13</v>
      </c>
      <c r="F175" s="1" t="s">
        <v>651</v>
      </c>
      <c r="G175" s="1">
        <v>2</v>
      </c>
      <c r="H175" s="1" t="s">
        <v>35</v>
      </c>
      <c r="I175" s="1">
        <v>0</v>
      </c>
      <c r="J175" s="1" t="s">
        <v>23</v>
      </c>
      <c r="K175" s="1">
        <v>40000</v>
      </c>
      <c r="L175" s="1" t="s">
        <v>46</v>
      </c>
      <c r="M175" s="3" t="s">
        <v>41</v>
      </c>
      <c r="N175" s="1" t="str">
        <f>INDEX(Table3[#All], MATCH(Table13[[#This Row],[Dept_Id]], Table3[[#All],[Dept_Id]], 0), 1)</f>
        <v>Human Resources</v>
      </c>
    </row>
    <row r="176" spans="1:14" x14ac:dyDescent="0.25">
      <c r="A176" s="2">
        <v>10105</v>
      </c>
      <c r="B176" s="1" t="s">
        <v>652</v>
      </c>
      <c r="C176" s="1" t="s">
        <v>459</v>
      </c>
      <c r="D176" s="1" t="s">
        <v>78</v>
      </c>
      <c r="E176" s="1" t="s">
        <v>13</v>
      </c>
      <c r="F176" s="1" t="s">
        <v>653</v>
      </c>
      <c r="G176" s="1">
        <v>2</v>
      </c>
      <c r="H176" s="1" t="s">
        <v>15</v>
      </c>
      <c r="I176" s="1">
        <v>0</v>
      </c>
      <c r="J176" s="1" t="s">
        <v>23</v>
      </c>
      <c r="K176" s="1">
        <v>59258</v>
      </c>
      <c r="L176" s="1" t="s">
        <v>46</v>
      </c>
      <c r="M176" s="3" t="s">
        <v>41</v>
      </c>
      <c r="N176" s="1" t="str">
        <f>INDEX(Table3[#All], MATCH(Table13[[#This Row],[Dept_Id]], Table3[[#All],[Dept_Id]], 0), 1)</f>
        <v>Human Resources</v>
      </c>
    </row>
    <row r="177" spans="1:14" x14ac:dyDescent="0.25">
      <c r="A177" s="2">
        <v>10106</v>
      </c>
      <c r="B177" s="1" t="s">
        <v>654</v>
      </c>
      <c r="C177" s="1" t="s">
        <v>655</v>
      </c>
      <c r="D177" s="1" t="s">
        <v>656</v>
      </c>
      <c r="E177" s="1" t="s">
        <v>13</v>
      </c>
      <c r="F177" s="1" t="s">
        <v>657</v>
      </c>
      <c r="G177" s="1">
        <v>4</v>
      </c>
      <c r="H177" s="1" t="s">
        <v>15</v>
      </c>
      <c r="I177" s="1">
        <v>0</v>
      </c>
      <c r="J177" s="1" t="s">
        <v>23</v>
      </c>
      <c r="K177" s="1">
        <v>62928</v>
      </c>
      <c r="L177" s="1" t="s">
        <v>24</v>
      </c>
      <c r="M177" s="3" t="s">
        <v>18</v>
      </c>
      <c r="N177" s="1" t="str">
        <f>INDEX(Table3[#All], MATCH(Table13[[#This Row],[Dept_Id]], Table3[[#All],[Dept_Id]], 0), 1)</f>
        <v>Production</v>
      </c>
    </row>
    <row r="178" spans="1:14" x14ac:dyDescent="0.25">
      <c r="A178" s="2">
        <v>222134</v>
      </c>
      <c r="B178" s="1" t="s">
        <v>658</v>
      </c>
      <c r="C178" s="1" t="s">
        <v>659</v>
      </c>
      <c r="D178" s="1" t="s">
        <v>660</v>
      </c>
      <c r="E178" s="1" t="s">
        <v>13</v>
      </c>
      <c r="F178" s="1" t="s">
        <v>661</v>
      </c>
      <c r="G178" s="1">
        <v>3</v>
      </c>
      <c r="H178" s="1" t="s">
        <v>29</v>
      </c>
      <c r="I178" s="1">
        <v>0</v>
      </c>
      <c r="J178" s="1" t="s">
        <v>23</v>
      </c>
      <c r="K178" s="1">
        <v>48391</v>
      </c>
      <c r="L178" s="1" t="s">
        <v>17</v>
      </c>
      <c r="M178" s="3" t="s">
        <v>18</v>
      </c>
      <c r="N178" s="1" t="str">
        <f>INDEX(Table3[#All], MATCH(Table13[[#This Row],[Dept_Id]], Table3[[#All],[Dept_Id]], 0), 1)</f>
        <v>Development</v>
      </c>
    </row>
    <row r="179" spans="1:14" x14ac:dyDescent="0.25">
      <c r="A179" s="2">
        <v>10107</v>
      </c>
      <c r="B179" s="1" t="s">
        <v>662</v>
      </c>
      <c r="C179" s="1" t="s">
        <v>663</v>
      </c>
      <c r="D179" s="1" t="s">
        <v>664</v>
      </c>
      <c r="E179" s="1" t="s">
        <v>33</v>
      </c>
      <c r="F179" s="1" t="s">
        <v>665</v>
      </c>
      <c r="G179" s="1">
        <v>7</v>
      </c>
      <c r="H179" s="1" t="s">
        <v>370</v>
      </c>
      <c r="I179" s="1">
        <v>0</v>
      </c>
      <c r="J179" s="1" t="s">
        <v>23</v>
      </c>
      <c r="K179" s="1">
        <v>93159</v>
      </c>
      <c r="L179" s="1" t="s">
        <v>40</v>
      </c>
      <c r="M179" s="3" t="s">
        <v>102</v>
      </c>
      <c r="N179" s="1" t="str">
        <f>INDEX(Table3[#All], MATCH(Table13[[#This Row],[Dept_Id]], Table3[[#All],[Dept_Id]], 0), 1)</f>
        <v>Sales</v>
      </c>
    </row>
    <row r="180" spans="1:14" x14ac:dyDescent="0.25">
      <c r="A180" s="2">
        <v>10108</v>
      </c>
      <c r="B180" s="1" t="s">
        <v>666</v>
      </c>
      <c r="C180" s="1" t="s">
        <v>667</v>
      </c>
      <c r="D180" s="1" t="s">
        <v>668</v>
      </c>
      <c r="E180" s="1" t="s">
        <v>13</v>
      </c>
      <c r="F180" s="1" t="s">
        <v>669</v>
      </c>
      <c r="G180" s="1">
        <v>2</v>
      </c>
      <c r="H180" s="1" t="s">
        <v>29</v>
      </c>
      <c r="I180" s="1">
        <v>0</v>
      </c>
      <c r="J180" s="1" t="s">
        <v>23</v>
      </c>
      <c r="K180" s="1">
        <v>40000</v>
      </c>
      <c r="L180" s="1" t="s">
        <v>125</v>
      </c>
      <c r="M180" s="3" t="s">
        <v>41</v>
      </c>
      <c r="N180" s="1" t="str">
        <f>INDEX(Table3[#All], MATCH(Table13[[#This Row],[Dept_Id]], Table3[[#All],[Dept_Id]], 0), 1)</f>
        <v>Marketing</v>
      </c>
    </row>
    <row r="181" spans="1:14" x14ac:dyDescent="0.25">
      <c r="A181" s="2">
        <v>10108</v>
      </c>
      <c r="B181" s="1" t="s">
        <v>666</v>
      </c>
      <c r="C181" s="1" t="s">
        <v>667</v>
      </c>
      <c r="D181" s="1" t="s">
        <v>668</v>
      </c>
      <c r="E181" s="1" t="s">
        <v>13</v>
      </c>
      <c r="F181" s="1" t="s">
        <v>669</v>
      </c>
      <c r="G181" s="1">
        <v>2</v>
      </c>
      <c r="H181" s="1" t="s">
        <v>29</v>
      </c>
      <c r="I181" s="1">
        <v>0</v>
      </c>
      <c r="J181" s="1" t="s">
        <v>23</v>
      </c>
      <c r="K181" s="1">
        <v>40000</v>
      </c>
      <c r="L181" s="1" t="s">
        <v>46</v>
      </c>
      <c r="M181" s="3" t="s">
        <v>41</v>
      </c>
      <c r="N181" s="1" t="str">
        <f>INDEX(Table3[#All], MATCH(Table13[[#This Row],[Dept_Id]], Table3[[#All],[Dept_Id]], 0), 1)</f>
        <v>Human Resources</v>
      </c>
    </row>
    <row r="182" spans="1:14" x14ac:dyDescent="0.25">
      <c r="A182" s="2">
        <v>465348</v>
      </c>
      <c r="B182" s="1" t="s">
        <v>670</v>
      </c>
      <c r="C182" s="1" t="s">
        <v>671</v>
      </c>
      <c r="D182" s="1" t="s">
        <v>672</v>
      </c>
      <c r="E182" s="1" t="s">
        <v>13</v>
      </c>
      <c r="F182" s="1" t="s">
        <v>673</v>
      </c>
      <c r="G182" s="1">
        <v>3</v>
      </c>
      <c r="H182" s="1" t="s">
        <v>35</v>
      </c>
      <c r="I182" s="1">
        <v>0</v>
      </c>
      <c r="J182" s="1" t="s">
        <v>23</v>
      </c>
      <c r="K182" s="1">
        <v>40000</v>
      </c>
      <c r="L182" s="1" t="s">
        <v>17</v>
      </c>
      <c r="M182" s="3" t="s">
        <v>55</v>
      </c>
      <c r="N182" s="1" t="str">
        <f>INDEX(Table3[#All], MATCH(Table13[[#This Row],[Dept_Id]], Table3[[#All],[Dept_Id]], 0), 1)</f>
        <v>Development</v>
      </c>
    </row>
    <row r="183" spans="1:14" x14ac:dyDescent="0.25">
      <c r="A183" s="2">
        <v>10109</v>
      </c>
      <c r="B183" s="1" t="s">
        <v>241</v>
      </c>
      <c r="C183" s="1" t="s">
        <v>674</v>
      </c>
      <c r="D183" s="1" t="s">
        <v>675</v>
      </c>
      <c r="E183" s="1" t="s">
        <v>33</v>
      </c>
      <c r="F183" s="1" t="s">
        <v>676</v>
      </c>
      <c r="G183" s="1">
        <v>7</v>
      </c>
      <c r="H183" s="1" t="s">
        <v>29</v>
      </c>
      <c r="I183" s="1">
        <v>0</v>
      </c>
      <c r="J183" s="1" t="s">
        <v>23</v>
      </c>
      <c r="K183" s="1">
        <v>40000</v>
      </c>
      <c r="L183" s="1" t="s">
        <v>24</v>
      </c>
      <c r="M183" s="3" t="s">
        <v>18</v>
      </c>
      <c r="N183" s="1" t="str">
        <f>INDEX(Table3[#All], MATCH(Table13[[#This Row],[Dept_Id]], Table3[[#All],[Dept_Id]], 0), 1)</f>
        <v>Production</v>
      </c>
    </row>
    <row r="184" spans="1:14" x14ac:dyDescent="0.25">
      <c r="A184" s="2">
        <v>92149</v>
      </c>
      <c r="B184" s="1" t="s">
        <v>677</v>
      </c>
      <c r="C184" s="1" t="s">
        <v>678</v>
      </c>
      <c r="D184" s="1" t="s">
        <v>679</v>
      </c>
      <c r="E184" s="1" t="s">
        <v>33</v>
      </c>
      <c r="F184" s="1" t="s">
        <v>680</v>
      </c>
      <c r="G184" s="1">
        <v>4</v>
      </c>
      <c r="H184" s="1" t="s">
        <v>35</v>
      </c>
      <c r="I184" s="1">
        <v>0</v>
      </c>
      <c r="J184" s="1" t="s">
        <v>23</v>
      </c>
      <c r="K184" s="1">
        <v>69585</v>
      </c>
      <c r="L184" s="1" t="s">
        <v>108</v>
      </c>
      <c r="M184" s="3" t="s">
        <v>41</v>
      </c>
      <c r="N184" s="1" t="str">
        <f>INDEX(Table3[#All], MATCH(Table13[[#This Row],[Dept_Id]], Table3[[#All],[Dept_Id]], 0), 1)</f>
        <v>Finance</v>
      </c>
    </row>
    <row r="185" spans="1:14" x14ac:dyDescent="0.25">
      <c r="A185" s="2">
        <v>10110</v>
      </c>
      <c r="B185" s="1" t="s">
        <v>681</v>
      </c>
      <c r="C185" s="1" t="s">
        <v>682</v>
      </c>
      <c r="D185" s="1" t="s">
        <v>683</v>
      </c>
      <c r="E185" s="1" t="s">
        <v>33</v>
      </c>
      <c r="F185" s="1" t="s">
        <v>684</v>
      </c>
      <c r="G185" s="1">
        <v>9</v>
      </c>
      <c r="H185" s="1" t="s">
        <v>29</v>
      </c>
      <c r="I185" s="1">
        <v>0</v>
      </c>
      <c r="J185" s="1" t="s">
        <v>23</v>
      </c>
      <c r="K185" s="1">
        <v>46836</v>
      </c>
      <c r="L185" s="1" t="s">
        <v>46</v>
      </c>
      <c r="M185" s="3" t="s">
        <v>41</v>
      </c>
      <c r="N185" s="1" t="str">
        <f>INDEX(Table3[#All], MATCH(Table13[[#This Row],[Dept_Id]], Table3[[#All],[Dept_Id]], 0), 1)</f>
        <v>Human Resources</v>
      </c>
    </row>
    <row r="186" spans="1:14" x14ac:dyDescent="0.25">
      <c r="A186" s="2">
        <v>10111</v>
      </c>
      <c r="B186" s="1" t="s">
        <v>685</v>
      </c>
      <c r="C186" s="1" t="s">
        <v>686</v>
      </c>
      <c r="D186" s="1" t="s">
        <v>687</v>
      </c>
      <c r="E186" s="1" t="s">
        <v>33</v>
      </c>
      <c r="F186" s="1" t="s">
        <v>688</v>
      </c>
      <c r="G186" s="1">
        <v>6</v>
      </c>
      <c r="H186" s="1" t="s">
        <v>29</v>
      </c>
      <c r="I186" s="1">
        <v>0</v>
      </c>
      <c r="J186" s="1" t="s">
        <v>23</v>
      </c>
      <c r="K186" s="1">
        <v>40000</v>
      </c>
      <c r="L186" s="1" t="s">
        <v>71</v>
      </c>
      <c r="M186" s="3" t="s">
        <v>18</v>
      </c>
      <c r="N186" s="1" t="str">
        <f>INDEX(Table3[#All], MATCH(Table13[[#This Row],[Dept_Id]], Table3[[#All],[Dept_Id]], 0), 1)</f>
        <v>Quality Management</v>
      </c>
    </row>
    <row r="187" spans="1:14" x14ac:dyDescent="0.25">
      <c r="A187" s="2">
        <v>406318</v>
      </c>
      <c r="B187" s="1" t="s">
        <v>689</v>
      </c>
      <c r="C187" s="1" t="s">
        <v>690</v>
      </c>
      <c r="D187" s="1" t="s">
        <v>691</v>
      </c>
      <c r="E187" s="1" t="s">
        <v>13</v>
      </c>
      <c r="F187" s="1" t="s">
        <v>692</v>
      </c>
      <c r="G187" s="1">
        <v>9</v>
      </c>
      <c r="H187" s="1" t="s">
        <v>29</v>
      </c>
      <c r="I187" s="1">
        <v>0</v>
      </c>
      <c r="J187" s="1" t="s">
        <v>23</v>
      </c>
      <c r="K187" s="1">
        <v>55145</v>
      </c>
      <c r="L187" s="1" t="s">
        <v>17</v>
      </c>
      <c r="M187" s="3" t="s">
        <v>18</v>
      </c>
      <c r="N187" s="1" t="str">
        <f>INDEX(Table3[#All], MATCH(Table13[[#This Row],[Dept_Id]], Table3[[#All],[Dept_Id]], 0), 1)</f>
        <v>Development</v>
      </c>
    </row>
    <row r="188" spans="1:14" x14ac:dyDescent="0.25">
      <c r="A188" s="2">
        <v>10112</v>
      </c>
      <c r="B188" s="1" t="s">
        <v>693</v>
      </c>
      <c r="C188" s="1" t="s">
        <v>694</v>
      </c>
      <c r="D188" s="1" t="s">
        <v>695</v>
      </c>
      <c r="E188" s="1" t="s">
        <v>33</v>
      </c>
      <c r="F188" s="1" t="s">
        <v>696</v>
      </c>
      <c r="G188" s="1">
        <v>2</v>
      </c>
      <c r="H188" s="1" t="s">
        <v>15</v>
      </c>
      <c r="I188" s="1">
        <v>0</v>
      </c>
      <c r="J188" s="1" t="s">
        <v>23</v>
      </c>
      <c r="K188" s="1">
        <v>49500</v>
      </c>
      <c r="L188" s="1" t="s">
        <v>89</v>
      </c>
      <c r="M188" s="3" t="s">
        <v>41</v>
      </c>
      <c r="N188" s="1" t="str">
        <f>INDEX(Table3[#All], MATCH(Table13[[#This Row],[Dept_Id]], Table3[[#All],[Dept_Id]], 0), 1)</f>
        <v>Customer Service</v>
      </c>
    </row>
    <row r="189" spans="1:14" x14ac:dyDescent="0.25">
      <c r="A189" s="2">
        <v>10113</v>
      </c>
      <c r="B189" s="1" t="s">
        <v>697</v>
      </c>
      <c r="C189" s="1" t="s">
        <v>698</v>
      </c>
      <c r="D189" s="1" t="s">
        <v>555</v>
      </c>
      <c r="E189" s="1" t="s">
        <v>13</v>
      </c>
      <c r="F189" s="1" t="s">
        <v>699</v>
      </c>
      <c r="G189" s="1">
        <v>10</v>
      </c>
      <c r="H189" s="1" t="s">
        <v>29</v>
      </c>
      <c r="I189" s="1">
        <v>0</v>
      </c>
      <c r="J189" s="1" t="s">
        <v>23</v>
      </c>
      <c r="K189" s="1">
        <v>69856</v>
      </c>
      <c r="L189" s="1" t="s">
        <v>24</v>
      </c>
      <c r="M189" s="3" t="s">
        <v>55</v>
      </c>
      <c r="N189" s="1" t="str">
        <f>INDEX(Table3[#All], MATCH(Table13[[#This Row],[Dept_Id]], Table3[[#All],[Dept_Id]], 0), 1)</f>
        <v>Production</v>
      </c>
    </row>
    <row r="190" spans="1:14" x14ac:dyDescent="0.25">
      <c r="A190" s="2">
        <v>259126</v>
      </c>
      <c r="B190" s="1" t="s">
        <v>700</v>
      </c>
      <c r="C190" s="1" t="s">
        <v>701</v>
      </c>
      <c r="D190" s="1" t="s">
        <v>702</v>
      </c>
      <c r="E190" s="1" t="s">
        <v>13</v>
      </c>
      <c r="F190" s="1" t="s">
        <v>703</v>
      </c>
      <c r="G190" s="1">
        <v>2</v>
      </c>
      <c r="H190" s="1" t="s">
        <v>15</v>
      </c>
      <c r="I190" s="1">
        <v>0</v>
      </c>
      <c r="J190" s="1" t="s">
        <v>23</v>
      </c>
      <c r="K190" s="1">
        <v>70329</v>
      </c>
      <c r="L190" s="1" t="s">
        <v>125</v>
      </c>
      <c r="M190" s="3" t="s">
        <v>41</v>
      </c>
      <c r="N190" s="1" t="str">
        <f>INDEX(Table3[#All], MATCH(Table13[[#This Row],[Dept_Id]], Table3[[#All],[Dept_Id]], 0), 1)</f>
        <v>Marketing</v>
      </c>
    </row>
    <row r="191" spans="1:14" x14ac:dyDescent="0.25">
      <c r="A191" s="2">
        <v>10114</v>
      </c>
      <c r="B191" s="1" t="s">
        <v>704</v>
      </c>
      <c r="C191" s="1" t="s">
        <v>705</v>
      </c>
      <c r="D191" s="1" t="s">
        <v>211</v>
      </c>
      <c r="E191" s="1" t="s">
        <v>33</v>
      </c>
      <c r="F191" s="1" t="s">
        <v>706</v>
      </c>
      <c r="G191" s="1">
        <v>6</v>
      </c>
      <c r="H191" s="1" t="s">
        <v>138</v>
      </c>
      <c r="I191" s="1">
        <v>0</v>
      </c>
      <c r="J191" s="1" t="s">
        <v>23</v>
      </c>
      <c r="K191" s="1">
        <v>49593</v>
      </c>
      <c r="L191" s="1" t="s">
        <v>61</v>
      </c>
      <c r="M191" s="3" t="s">
        <v>41</v>
      </c>
      <c r="N191" s="1" t="str">
        <f>INDEX(Table3[#All], MATCH(Table13[[#This Row],[Dept_Id]], Table3[[#All],[Dept_Id]], 0), 1)</f>
        <v>Research</v>
      </c>
    </row>
    <row r="192" spans="1:14" x14ac:dyDescent="0.25">
      <c r="A192" s="2">
        <v>10115</v>
      </c>
      <c r="B192" s="1" t="s">
        <v>707</v>
      </c>
      <c r="C192" s="1" t="s">
        <v>708</v>
      </c>
      <c r="D192" s="1" t="s">
        <v>709</v>
      </c>
      <c r="E192" s="1" t="s">
        <v>13</v>
      </c>
      <c r="F192" s="1" t="s">
        <v>710</v>
      </c>
      <c r="G192" s="1">
        <v>1</v>
      </c>
      <c r="H192" s="1" t="s">
        <v>29</v>
      </c>
      <c r="I192" s="1">
        <v>0</v>
      </c>
      <c r="J192" s="1" t="s">
        <v>23</v>
      </c>
      <c r="K192" s="1">
        <v>40000</v>
      </c>
      <c r="L192" s="1" t="s">
        <v>89</v>
      </c>
      <c r="M192" s="3" t="s">
        <v>41</v>
      </c>
      <c r="N192" s="1" t="str">
        <f>INDEX(Table3[#All], MATCH(Table13[[#This Row],[Dept_Id]], Table3[[#All],[Dept_Id]], 0), 1)</f>
        <v>Customer Service</v>
      </c>
    </row>
    <row r="193" spans="1:14" x14ac:dyDescent="0.25">
      <c r="A193" s="2">
        <v>42625</v>
      </c>
      <c r="B193" s="1" t="s">
        <v>711</v>
      </c>
      <c r="C193" s="1" t="s">
        <v>712</v>
      </c>
      <c r="D193" s="1" t="s">
        <v>695</v>
      </c>
      <c r="E193" s="1" t="s">
        <v>33</v>
      </c>
      <c r="F193" s="1" t="s">
        <v>713</v>
      </c>
      <c r="G193" s="1">
        <v>1</v>
      </c>
      <c r="H193" s="1" t="s">
        <v>29</v>
      </c>
      <c r="I193" s="1">
        <v>0</v>
      </c>
      <c r="J193" s="1" t="s">
        <v>23</v>
      </c>
      <c r="K193" s="1">
        <v>55095</v>
      </c>
      <c r="L193" s="1" t="s">
        <v>40</v>
      </c>
      <c r="M193" s="3" t="s">
        <v>41</v>
      </c>
      <c r="N193" s="1" t="str">
        <f>INDEX(Table3[#All], MATCH(Table13[[#This Row],[Dept_Id]], Table3[[#All],[Dept_Id]], 0), 1)</f>
        <v>Sales</v>
      </c>
    </row>
    <row r="194" spans="1:14" x14ac:dyDescent="0.25">
      <c r="A194" s="2">
        <v>10116</v>
      </c>
      <c r="B194" s="1" t="s">
        <v>714</v>
      </c>
      <c r="C194" s="1" t="s">
        <v>715</v>
      </c>
      <c r="D194" s="1" t="s">
        <v>716</v>
      </c>
      <c r="E194" s="1" t="s">
        <v>33</v>
      </c>
      <c r="F194" s="1" t="s">
        <v>717</v>
      </c>
      <c r="G194" s="1">
        <v>3</v>
      </c>
      <c r="H194" s="1" t="s">
        <v>29</v>
      </c>
      <c r="I194" s="1">
        <v>0</v>
      </c>
      <c r="J194" s="1" t="s">
        <v>23</v>
      </c>
      <c r="K194" s="1">
        <v>44034</v>
      </c>
      <c r="L194" s="1" t="s">
        <v>17</v>
      </c>
      <c r="M194" s="3" t="s">
        <v>18</v>
      </c>
      <c r="N194" s="1" t="str">
        <f>INDEX(Table3[#All], MATCH(Table13[[#This Row],[Dept_Id]], Table3[[#All],[Dept_Id]], 0), 1)</f>
        <v>Development</v>
      </c>
    </row>
    <row r="195" spans="1:14" x14ac:dyDescent="0.25">
      <c r="A195" s="2">
        <v>10116</v>
      </c>
      <c r="B195" s="1" t="s">
        <v>714</v>
      </c>
      <c r="C195" s="1" t="s">
        <v>715</v>
      </c>
      <c r="D195" s="1" t="s">
        <v>716</v>
      </c>
      <c r="E195" s="1" t="s">
        <v>33</v>
      </c>
      <c r="F195" s="1" t="s">
        <v>717</v>
      </c>
      <c r="G195" s="1">
        <v>3</v>
      </c>
      <c r="H195" s="1" t="s">
        <v>29</v>
      </c>
      <c r="I195" s="1">
        <v>0</v>
      </c>
      <c r="J195" s="1" t="s">
        <v>23</v>
      </c>
      <c r="K195" s="1">
        <v>44034</v>
      </c>
      <c r="L195" s="1" t="s">
        <v>61</v>
      </c>
      <c r="M195" s="3" t="s">
        <v>18</v>
      </c>
      <c r="N195" s="1" t="str">
        <f>INDEX(Table3[#All], MATCH(Table13[[#This Row],[Dept_Id]], Table3[[#All],[Dept_Id]], 0), 1)</f>
        <v>Research</v>
      </c>
    </row>
    <row r="196" spans="1:14" x14ac:dyDescent="0.25">
      <c r="A196" s="2">
        <v>85093</v>
      </c>
      <c r="B196" s="1" t="s">
        <v>718</v>
      </c>
      <c r="C196" s="1" t="s">
        <v>719</v>
      </c>
      <c r="D196" s="1" t="s">
        <v>720</v>
      </c>
      <c r="E196" s="1" t="s">
        <v>13</v>
      </c>
      <c r="F196" s="1" t="s">
        <v>721</v>
      </c>
      <c r="G196" s="1">
        <v>6</v>
      </c>
      <c r="H196" s="1" t="s">
        <v>29</v>
      </c>
      <c r="I196" s="1">
        <v>0</v>
      </c>
      <c r="J196" s="1" t="s">
        <v>23</v>
      </c>
      <c r="K196" s="1">
        <v>97816</v>
      </c>
      <c r="L196" s="1" t="s">
        <v>40</v>
      </c>
      <c r="M196" s="3" t="s">
        <v>102</v>
      </c>
      <c r="N196" s="1" t="str">
        <f>INDEX(Table3[#All], MATCH(Table13[[#This Row],[Dept_Id]], Table3[[#All],[Dept_Id]], 0), 1)</f>
        <v>Sales</v>
      </c>
    </row>
    <row r="197" spans="1:14" x14ac:dyDescent="0.25">
      <c r="A197" s="2">
        <v>10117</v>
      </c>
      <c r="B197" s="1" t="s">
        <v>722</v>
      </c>
      <c r="C197" s="1" t="s">
        <v>723</v>
      </c>
      <c r="D197" s="1" t="s">
        <v>724</v>
      </c>
      <c r="E197" s="1" t="s">
        <v>33</v>
      </c>
      <c r="F197" s="1" t="s">
        <v>725</v>
      </c>
      <c r="G197" s="1">
        <v>6</v>
      </c>
      <c r="H197" s="1" t="s">
        <v>29</v>
      </c>
      <c r="I197" s="1">
        <v>0</v>
      </c>
      <c r="J197" s="1" t="s">
        <v>23</v>
      </c>
      <c r="K197" s="1">
        <v>52284</v>
      </c>
      <c r="L197" s="1" t="s">
        <v>24</v>
      </c>
      <c r="M197" s="3" t="s">
        <v>18</v>
      </c>
      <c r="N197" s="1" t="str">
        <f>INDEX(Table3[#All], MATCH(Table13[[#This Row],[Dept_Id]], Table3[[#All],[Dept_Id]], 0), 1)</f>
        <v>Production</v>
      </c>
    </row>
    <row r="198" spans="1:14" x14ac:dyDescent="0.25">
      <c r="A198" s="2">
        <v>10118</v>
      </c>
      <c r="B198" s="1" t="s">
        <v>726</v>
      </c>
      <c r="C198" s="1" t="s">
        <v>599</v>
      </c>
      <c r="D198" s="1" t="s">
        <v>727</v>
      </c>
      <c r="E198" s="1" t="s">
        <v>33</v>
      </c>
      <c r="F198" s="1" t="s">
        <v>728</v>
      </c>
      <c r="G198" s="1">
        <v>6</v>
      </c>
      <c r="H198" s="1" t="s">
        <v>35</v>
      </c>
      <c r="I198" s="1">
        <v>0</v>
      </c>
      <c r="J198" s="1" t="s">
        <v>23</v>
      </c>
      <c r="K198" s="1">
        <v>40000</v>
      </c>
      <c r="L198" s="1" t="s">
        <v>17</v>
      </c>
      <c r="M198" s="3" t="s">
        <v>18</v>
      </c>
      <c r="N198" s="1" t="str">
        <f>INDEX(Table3[#All], MATCH(Table13[[#This Row],[Dept_Id]], Table3[[#All],[Dept_Id]], 0), 1)</f>
        <v>Development</v>
      </c>
    </row>
    <row r="199" spans="1:14" x14ac:dyDescent="0.25">
      <c r="A199" s="2">
        <v>281320</v>
      </c>
      <c r="B199" s="1" t="s">
        <v>729</v>
      </c>
      <c r="C199" s="1" t="s">
        <v>615</v>
      </c>
      <c r="D199" s="1" t="s">
        <v>730</v>
      </c>
      <c r="E199" s="1" t="s">
        <v>33</v>
      </c>
      <c r="F199" s="1" t="s">
        <v>731</v>
      </c>
      <c r="G199" s="1">
        <v>2</v>
      </c>
      <c r="H199" s="1" t="s">
        <v>15</v>
      </c>
      <c r="I199" s="1">
        <v>1</v>
      </c>
      <c r="J199" s="1" t="s">
        <v>732</v>
      </c>
      <c r="K199" s="1">
        <v>41600</v>
      </c>
      <c r="L199" s="1" t="s">
        <v>17</v>
      </c>
      <c r="M199" s="3" t="s">
        <v>18</v>
      </c>
      <c r="N199" s="1" t="str">
        <f>INDEX(Table3[#All], MATCH(Table13[[#This Row],[Dept_Id]], Table3[[#All],[Dept_Id]], 0), 1)</f>
        <v>Development</v>
      </c>
    </row>
    <row r="200" spans="1:14" x14ac:dyDescent="0.25">
      <c r="A200" s="2">
        <v>10119</v>
      </c>
      <c r="B200" s="1" t="s">
        <v>733</v>
      </c>
      <c r="C200" s="1" t="s">
        <v>194</v>
      </c>
      <c r="D200" s="1" t="s">
        <v>734</v>
      </c>
      <c r="E200" s="1" t="s">
        <v>13</v>
      </c>
      <c r="F200" s="1" t="s">
        <v>569</v>
      </c>
      <c r="G200" s="1">
        <v>9</v>
      </c>
      <c r="H200" s="1" t="s">
        <v>15</v>
      </c>
      <c r="I200" s="1">
        <v>0</v>
      </c>
      <c r="J200" s="1" t="s">
        <v>23</v>
      </c>
      <c r="K200" s="1">
        <v>53551</v>
      </c>
      <c r="L200" s="1" t="s">
        <v>24</v>
      </c>
      <c r="M200" s="3" t="s">
        <v>55</v>
      </c>
      <c r="N200" s="1" t="str">
        <f>INDEX(Table3[#All], MATCH(Table13[[#This Row],[Dept_Id]], Table3[[#All],[Dept_Id]], 0), 1)</f>
        <v>Production</v>
      </c>
    </row>
    <row r="201" spans="1:14" x14ac:dyDescent="0.25">
      <c r="A201" s="2">
        <v>10120</v>
      </c>
      <c r="B201" s="1" t="s">
        <v>735</v>
      </c>
      <c r="C201" s="1" t="s">
        <v>736</v>
      </c>
      <c r="D201" s="1" t="s">
        <v>737</v>
      </c>
      <c r="E201" s="1" t="s">
        <v>33</v>
      </c>
      <c r="F201" s="1" t="s">
        <v>738</v>
      </c>
      <c r="G201" s="1">
        <v>6</v>
      </c>
      <c r="H201" s="1" t="s">
        <v>29</v>
      </c>
      <c r="I201" s="1">
        <v>0</v>
      </c>
      <c r="J201" s="1" t="s">
        <v>23</v>
      </c>
      <c r="K201" s="1">
        <v>46292</v>
      </c>
      <c r="L201" s="1" t="s">
        <v>24</v>
      </c>
      <c r="M201" s="3" t="s">
        <v>55</v>
      </c>
      <c r="N201" s="1" t="str">
        <f>INDEX(Table3[#All], MATCH(Table13[[#This Row],[Dept_Id]], Table3[[#All],[Dept_Id]], 0), 1)</f>
        <v>Production</v>
      </c>
    </row>
    <row r="202" spans="1:14" x14ac:dyDescent="0.25">
      <c r="A202" s="2">
        <v>402202</v>
      </c>
      <c r="B202" s="1" t="s">
        <v>739</v>
      </c>
      <c r="C202" s="1" t="s">
        <v>740</v>
      </c>
      <c r="D202" s="1" t="s">
        <v>741</v>
      </c>
      <c r="E202" s="1" t="s">
        <v>13</v>
      </c>
      <c r="F202" s="1" t="s">
        <v>742</v>
      </c>
      <c r="G202" s="1">
        <v>10</v>
      </c>
      <c r="H202" s="1" t="s">
        <v>29</v>
      </c>
      <c r="I202" s="1">
        <v>0</v>
      </c>
      <c r="J202" s="1" t="s">
        <v>23</v>
      </c>
      <c r="K202" s="1">
        <v>41006</v>
      </c>
      <c r="L202" s="1" t="s">
        <v>17</v>
      </c>
      <c r="M202" s="3" t="s">
        <v>156</v>
      </c>
      <c r="N202" s="1" t="str">
        <f>INDEX(Table3[#All], MATCH(Table13[[#This Row],[Dept_Id]], Table3[[#All],[Dept_Id]], 0), 1)</f>
        <v>Development</v>
      </c>
    </row>
    <row r="203" spans="1:14" x14ac:dyDescent="0.25">
      <c r="A203" s="2">
        <v>10121</v>
      </c>
      <c r="B203" s="1" t="s">
        <v>743</v>
      </c>
      <c r="C203" s="1" t="s">
        <v>114</v>
      </c>
      <c r="D203" s="1" t="s">
        <v>744</v>
      </c>
      <c r="E203" s="1" t="s">
        <v>13</v>
      </c>
      <c r="F203" s="1" t="s">
        <v>745</v>
      </c>
      <c r="G203" s="1">
        <v>10</v>
      </c>
      <c r="H203" s="1" t="s">
        <v>35</v>
      </c>
      <c r="I203" s="1">
        <v>0</v>
      </c>
      <c r="J203" s="1" t="s">
        <v>23</v>
      </c>
      <c r="K203" s="1">
        <v>43772</v>
      </c>
      <c r="L203" s="1" t="s">
        <v>17</v>
      </c>
      <c r="M203" s="3" t="s">
        <v>18</v>
      </c>
      <c r="N203" s="1" t="str">
        <f>INDEX(Table3[#All], MATCH(Table13[[#This Row],[Dept_Id]], Table3[[#All],[Dept_Id]], 0), 1)</f>
        <v>Development</v>
      </c>
    </row>
    <row r="204" spans="1:14" x14ac:dyDescent="0.25">
      <c r="A204" s="2">
        <v>10122</v>
      </c>
      <c r="B204" s="1" t="s">
        <v>746</v>
      </c>
      <c r="C204" s="1" t="s">
        <v>747</v>
      </c>
      <c r="D204" s="1" t="s">
        <v>748</v>
      </c>
      <c r="E204" s="1" t="s">
        <v>13</v>
      </c>
      <c r="F204" s="1" t="s">
        <v>749</v>
      </c>
      <c r="G204" s="1">
        <v>6</v>
      </c>
      <c r="H204" s="1" t="s">
        <v>29</v>
      </c>
      <c r="I204" s="1">
        <v>0</v>
      </c>
      <c r="J204" s="1" t="s">
        <v>23</v>
      </c>
      <c r="K204" s="1">
        <v>42284</v>
      </c>
      <c r="L204" s="1" t="s">
        <v>17</v>
      </c>
      <c r="M204" s="3" t="s">
        <v>156</v>
      </c>
      <c r="N204" s="1" t="str">
        <f>INDEX(Table3[#All], MATCH(Table13[[#This Row],[Dept_Id]], Table3[[#All],[Dept_Id]], 0), 1)</f>
        <v>Development</v>
      </c>
    </row>
    <row r="205" spans="1:14" x14ac:dyDescent="0.25">
      <c r="A205" s="2">
        <v>419277</v>
      </c>
      <c r="B205" s="1" t="s">
        <v>750</v>
      </c>
      <c r="C205" s="1" t="s">
        <v>751</v>
      </c>
      <c r="D205" s="1" t="s">
        <v>752</v>
      </c>
      <c r="E205" s="1" t="s">
        <v>13</v>
      </c>
      <c r="F205" s="1" t="s">
        <v>753</v>
      </c>
      <c r="G205" s="1">
        <v>4</v>
      </c>
      <c r="H205" s="1" t="s">
        <v>138</v>
      </c>
      <c r="I205" s="1">
        <v>0</v>
      </c>
      <c r="J205" s="1" t="s">
        <v>23</v>
      </c>
      <c r="K205" s="1">
        <v>46833</v>
      </c>
      <c r="L205" s="1" t="s">
        <v>17</v>
      </c>
      <c r="M205" s="3" t="s">
        <v>156</v>
      </c>
      <c r="N205" s="1" t="str">
        <f>INDEX(Table3[#All], MATCH(Table13[[#This Row],[Dept_Id]], Table3[[#All],[Dept_Id]], 0), 1)</f>
        <v>Development</v>
      </c>
    </row>
    <row r="206" spans="1:14" x14ac:dyDescent="0.25">
      <c r="A206" s="2">
        <v>10123</v>
      </c>
      <c r="B206" s="1" t="s">
        <v>754</v>
      </c>
      <c r="C206" s="1" t="s">
        <v>755</v>
      </c>
      <c r="D206" s="1" t="s">
        <v>756</v>
      </c>
      <c r="E206" s="1" t="s">
        <v>13</v>
      </c>
      <c r="F206" s="1" t="s">
        <v>757</v>
      </c>
      <c r="G206" s="1">
        <v>1</v>
      </c>
      <c r="H206" s="1" t="s">
        <v>29</v>
      </c>
      <c r="I206" s="1">
        <v>0</v>
      </c>
      <c r="J206" s="1" t="s">
        <v>23</v>
      </c>
      <c r="K206" s="1">
        <v>71524</v>
      </c>
      <c r="L206" s="1" t="s">
        <v>24</v>
      </c>
      <c r="M206" s="3" t="s">
        <v>55</v>
      </c>
      <c r="N206" s="1" t="str">
        <f>INDEX(Table3[#All], MATCH(Table13[[#This Row],[Dept_Id]], Table3[[#All],[Dept_Id]], 0), 1)</f>
        <v>Production</v>
      </c>
    </row>
    <row r="207" spans="1:14" x14ac:dyDescent="0.25">
      <c r="A207" s="2">
        <v>10124</v>
      </c>
      <c r="B207" s="1" t="s">
        <v>758</v>
      </c>
      <c r="C207" s="1" t="s">
        <v>759</v>
      </c>
      <c r="D207" s="1" t="s">
        <v>760</v>
      </c>
      <c r="E207" s="1" t="s">
        <v>13</v>
      </c>
      <c r="F207" s="1" t="s">
        <v>761</v>
      </c>
      <c r="G207" s="1">
        <v>8</v>
      </c>
      <c r="H207" s="1" t="s">
        <v>15</v>
      </c>
      <c r="I207" s="1">
        <v>0</v>
      </c>
      <c r="J207" s="1" t="s">
        <v>23</v>
      </c>
      <c r="K207" s="1">
        <v>40583</v>
      </c>
      <c r="L207" s="1" t="s">
        <v>24</v>
      </c>
      <c r="M207" s="3" t="s">
        <v>18</v>
      </c>
      <c r="N207" s="1" t="str">
        <f>INDEX(Table3[#All], MATCH(Table13[[#This Row],[Dept_Id]], Table3[[#All],[Dept_Id]], 0), 1)</f>
        <v>Production</v>
      </c>
    </row>
    <row r="208" spans="1:14" x14ac:dyDescent="0.25">
      <c r="A208" s="2">
        <v>10124</v>
      </c>
      <c r="B208" s="1" t="s">
        <v>758</v>
      </c>
      <c r="C208" s="1" t="s">
        <v>759</v>
      </c>
      <c r="D208" s="1" t="s">
        <v>760</v>
      </c>
      <c r="E208" s="1" t="s">
        <v>13</v>
      </c>
      <c r="F208" s="1" t="s">
        <v>761</v>
      </c>
      <c r="G208" s="1">
        <v>8</v>
      </c>
      <c r="H208" s="1" t="s">
        <v>15</v>
      </c>
      <c r="I208" s="1">
        <v>0</v>
      </c>
      <c r="J208" s="1" t="s">
        <v>23</v>
      </c>
      <c r="K208" s="1">
        <v>40583</v>
      </c>
      <c r="L208" s="1" t="s">
        <v>71</v>
      </c>
      <c r="M208" s="3" t="s">
        <v>18</v>
      </c>
      <c r="N208" s="1" t="str">
        <f>INDEX(Table3[#All], MATCH(Table13[[#This Row],[Dept_Id]], Table3[[#All],[Dept_Id]], 0), 1)</f>
        <v>Quality Management</v>
      </c>
    </row>
    <row r="209" spans="1:14" x14ac:dyDescent="0.25">
      <c r="A209" s="2">
        <v>451259</v>
      </c>
      <c r="B209" s="1" t="s">
        <v>762</v>
      </c>
      <c r="C209" s="1" t="s">
        <v>763</v>
      </c>
      <c r="D209" s="1" t="s">
        <v>764</v>
      </c>
      <c r="E209" s="1" t="s">
        <v>13</v>
      </c>
      <c r="F209" s="1" t="s">
        <v>765</v>
      </c>
      <c r="G209" s="1">
        <v>10</v>
      </c>
      <c r="H209" s="1" t="s">
        <v>35</v>
      </c>
      <c r="I209" s="1">
        <v>0</v>
      </c>
      <c r="J209" s="1" t="s">
        <v>23</v>
      </c>
      <c r="K209" s="1">
        <v>46138</v>
      </c>
      <c r="L209" s="1" t="s">
        <v>46</v>
      </c>
      <c r="M209" s="3" t="s">
        <v>41</v>
      </c>
      <c r="N209" s="1" t="str">
        <f>INDEX(Table3[#All], MATCH(Table13[[#This Row],[Dept_Id]], Table3[[#All],[Dept_Id]], 0), 1)</f>
        <v>Human Resources</v>
      </c>
    </row>
    <row r="210" spans="1:14" x14ac:dyDescent="0.25">
      <c r="A210" s="2">
        <v>10125</v>
      </c>
      <c r="B210" s="1" t="s">
        <v>766</v>
      </c>
      <c r="C210" s="1" t="s">
        <v>767</v>
      </c>
      <c r="D210" s="1" t="s">
        <v>768</v>
      </c>
      <c r="E210" s="1" t="s">
        <v>33</v>
      </c>
      <c r="F210" s="1" t="s">
        <v>769</v>
      </c>
      <c r="G210" s="1">
        <v>10</v>
      </c>
      <c r="H210" s="1" t="s">
        <v>15</v>
      </c>
      <c r="I210" s="1">
        <v>0</v>
      </c>
      <c r="J210" s="1" t="s">
        <v>23</v>
      </c>
      <c r="K210" s="1">
        <v>58249</v>
      </c>
      <c r="L210" s="1" t="s">
        <v>40</v>
      </c>
      <c r="M210" s="3" t="s">
        <v>41</v>
      </c>
      <c r="N210" s="1" t="str">
        <f>INDEX(Table3[#All], MATCH(Table13[[#This Row],[Dept_Id]], Table3[[#All],[Dept_Id]], 0), 1)</f>
        <v>Sales</v>
      </c>
    </row>
    <row r="211" spans="1:14" x14ac:dyDescent="0.25">
      <c r="A211" s="2">
        <v>225842</v>
      </c>
      <c r="B211" s="1" t="s">
        <v>770</v>
      </c>
      <c r="C211" s="1" t="s">
        <v>771</v>
      </c>
      <c r="D211" s="1" t="s">
        <v>772</v>
      </c>
      <c r="E211" s="1" t="s">
        <v>13</v>
      </c>
      <c r="F211" s="1" t="s">
        <v>773</v>
      </c>
      <c r="G211" s="1">
        <v>3</v>
      </c>
      <c r="H211" s="1" t="s">
        <v>35</v>
      </c>
      <c r="I211" s="1">
        <v>0</v>
      </c>
      <c r="J211" s="1" t="s">
        <v>23</v>
      </c>
      <c r="K211" s="1">
        <v>40000</v>
      </c>
      <c r="L211" s="1" t="s">
        <v>17</v>
      </c>
      <c r="M211" s="3" t="s">
        <v>55</v>
      </c>
      <c r="N211" s="1" t="str">
        <f>INDEX(Table3[#All], MATCH(Table13[[#This Row],[Dept_Id]], Table3[[#All],[Dept_Id]], 0), 1)</f>
        <v>Development</v>
      </c>
    </row>
    <row r="212" spans="1:14" x14ac:dyDescent="0.25">
      <c r="A212" s="2">
        <v>10126</v>
      </c>
      <c r="B212" s="1" t="s">
        <v>774</v>
      </c>
      <c r="C212" s="1" t="s">
        <v>775</v>
      </c>
      <c r="D212" s="1" t="s">
        <v>776</v>
      </c>
      <c r="E212" s="1" t="s">
        <v>13</v>
      </c>
      <c r="F212" s="1" t="s">
        <v>777</v>
      </c>
      <c r="G212" s="1">
        <v>10</v>
      </c>
      <c r="H212" s="1" t="s">
        <v>29</v>
      </c>
      <c r="I212" s="1">
        <v>0</v>
      </c>
      <c r="J212" s="1" t="s">
        <v>23</v>
      </c>
      <c r="K212" s="1">
        <v>40000</v>
      </c>
      <c r="L212" s="1" t="s">
        <v>89</v>
      </c>
      <c r="M212" s="3" t="s">
        <v>41</v>
      </c>
      <c r="N212" s="1" t="str">
        <f>INDEX(Table3[#All], MATCH(Table13[[#This Row],[Dept_Id]], Table3[[#All],[Dept_Id]], 0), 1)</f>
        <v>Customer Service</v>
      </c>
    </row>
    <row r="213" spans="1:14" x14ac:dyDescent="0.25">
      <c r="A213" s="2">
        <v>10127</v>
      </c>
      <c r="B213" s="1" t="s">
        <v>778</v>
      </c>
      <c r="C213" s="1" t="s">
        <v>779</v>
      </c>
      <c r="D213" s="1" t="s">
        <v>780</v>
      </c>
      <c r="E213" s="1" t="s">
        <v>33</v>
      </c>
      <c r="F213" s="1" t="s">
        <v>781</v>
      </c>
      <c r="G213" s="1">
        <v>3</v>
      </c>
      <c r="H213" s="1" t="s">
        <v>29</v>
      </c>
      <c r="I213" s="1">
        <v>1</v>
      </c>
      <c r="J213" s="1" t="s">
        <v>782</v>
      </c>
      <c r="K213" s="1">
        <v>40000</v>
      </c>
      <c r="L213" s="1" t="s">
        <v>17</v>
      </c>
      <c r="M213" s="3" t="s">
        <v>18</v>
      </c>
      <c r="N213" s="1" t="str">
        <f>INDEX(Table3[#All], MATCH(Table13[[#This Row],[Dept_Id]], Table3[[#All],[Dept_Id]], 0), 1)</f>
        <v>Development</v>
      </c>
    </row>
    <row r="214" spans="1:14" x14ac:dyDescent="0.25">
      <c r="A214" s="2">
        <v>62038</v>
      </c>
      <c r="B214" s="1" t="s">
        <v>783</v>
      </c>
      <c r="C214" s="1" t="s">
        <v>784</v>
      </c>
      <c r="D214" s="1" t="s">
        <v>785</v>
      </c>
      <c r="E214" s="1" t="s">
        <v>33</v>
      </c>
      <c r="F214" s="1" t="s">
        <v>786</v>
      </c>
      <c r="G214" s="1">
        <v>1</v>
      </c>
      <c r="H214" s="1" t="s">
        <v>35</v>
      </c>
      <c r="I214" s="1">
        <v>1</v>
      </c>
      <c r="J214" s="1" t="s">
        <v>787</v>
      </c>
      <c r="K214" s="1">
        <v>60105</v>
      </c>
      <c r="L214" s="1" t="s">
        <v>61</v>
      </c>
      <c r="M214" s="3" t="s">
        <v>41</v>
      </c>
      <c r="N214" s="1" t="str">
        <f>INDEX(Table3[#All], MATCH(Table13[[#This Row],[Dept_Id]], Table3[[#All],[Dept_Id]], 0), 1)</f>
        <v>Research</v>
      </c>
    </row>
    <row r="215" spans="1:14" x14ac:dyDescent="0.25">
      <c r="A215" s="2">
        <v>10128</v>
      </c>
      <c r="B215" s="1" t="s">
        <v>788</v>
      </c>
      <c r="C215" s="1" t="s">
        <v>789</v>
      </c>
      <c r="D215" s="1" t="s">
        <v>790</v>
      </c>
      <c r="E215" s="1" t="s">
        <v>33</v>
      </c>
      <c r="F215" s="1" t="s">
        <v>791</v>
      </c>
      <c r="G215" s="1">
        <v>5</v>
      </c>
      <c r="H215" s="1" t="s">
        <v>15</v>
      </c>
      <c r="I215" s="1">
        <v>0</v>
      </c>
      <c r="J215" s="1" t="s">
        <v>23</v>
      </c>
      <c r="K215" s="1">
        <v>40000</v>
      </c>
      <c r="L215" s="1" t="s">
        <v>89</v>
      </c>
      <c r="M215" s="3" t="s">
        <v>41</v>
      </c>
      <c r="N215" s="1" t="str">
        <f>INDEX(Table3[#All], MATCH(Table13[[#This Row],[Dept_Id]], Table3[[#All],[Dept_Id]], 0), 1)</f>
        <v>Customer Service</v>
      </c>
    </row>
    <row r="216" spans="1:14" x14ac:dyDescent="0.25">
      <c r="A216" s="2">
        <v>10129</v>
      </c>
      <c r="B216" s="1" t="s">
        <v>792</v>
      </c>
      <c r="C216" s="1" t="s">
        <v>736</v>
      </c>
      <c r="D216" s="1" t="s">
        <v>793</v>
      </c>
      <c r="E216" s="1" t="s">
        <v>13</v>
      </c>
      <c r="F216" s="1" t="s">
        <v>794</v>
      </c>
      <c r="G216" s="1">
        <v>9</v>
      </c>
      <c r="H216" s="1" t="s">
        <v>35</v>
      </c>
      <c r="I216" s="1">
        <v>0</v>
      </c>
      <c r="J216" s="1" t="s">
        <v>23</v>
      </c>
      <c r="K216" s="1">
        <v>40000</v>
      </c>
      <c r="L216" s="1" t="s">
        <v>17</v>
      </c>
      <c r="M216" s="3" t="s">
        <v>156</v>
      </c>
      <c r="N216" s="1" t="str">
        <f>INDEX(Table3[#All], MATCH(Table13[[#This Row],[Dept_Id]], Table3[[#All],[Dept_Id]], 0), 1)</f>
        <v>Development</v>
      </c>
    </row>
    <row r="217" spans="1:14" x14ac:dyDescent="0.25">
      <c r="A217" s="2">
        <v>256701</v>
      </c>
      <c r="B217" s="1" t="s">
        <v>795</v>
      </c>
      <c r="C217" s="1" t="s">
        <v>796</v>
      </c>
      <c r="D217" s="1" t="s">
        <v>797</v>
      </c>
      <c r="E217" s="1" t="s">
        <v>33</v>
      </c>
      <c r="F217" s="1" t="s">
        <v>798</v>
      </c>
      <c r="G217" s="1">
        <v>1</v>
      </c>
      <c r="H217" s="1" t="s">
        <v>138</v>
      </c>
      <c r="I217" s="1">
        <v>0</v>
      </c>
      <c r="J217" s="1" t="s">
        <v>23</v>
      </c>
      <c r="K217" s="1">
        <v>40000</v>
      </c>
      <c r="L217" s="1" t="s">
        <v>17</v>
      </c>
      <c r="M217" s="3" t="s">
        <v>18</v>
      </c>
      <c r="N217" s="1" t="str">
        <f>INDEX(Table3[#All], MATCH(Table13[[#This Row],[Dept_Id]], Table3[[#All],[Dept_Id]], 0), 1)</f>
        <v>Development</v>
      </c>
    </row>
    <row r="218" spans="1:14" x14ac:dyDescent="0.25">
      <c r="A218" s="2">
        <v>10130</v>
      </c>
      <c r="B218" s="1" t="s">
        <v>799</v>
      </c>
      <c r="C218" s="1" t="s">
        <v>800</v>
      </c>
      <c r="D218" s="1" t="s">
        <v>801</v>
      </c>
      <c r="E218" s="1" t="s">
        <v>13</v>
      </c>
      <c r="F218" s="1" t="s">
        <v>802</v>
      </c>
      <c r="G218" s="1">
        <v>2</v>
      </c>
      <c r="H218" s="1" t="s">
        <v>35</v>
      </c>
      <c r="I218" s="1">
        <v>0</v>
      </c>
      <c r="J218" s="1" t="s">
        <v>23</v>
      </c>
      <c r="K218" s="1">
        <v>40000</v>
      </c>
      <c r="L218" s="1" t="s">
        <v>24</v>
      </c>
      <c r="M218" s="3" t="s">
        <v>18</v>
      </c>
      <c r="N218" s="1" t="str">
        <f>INDEX(Table3[#All], MATCH(Table13[[#This Row],[Dept_Id]], Table3[[#All],[Dept_Id]], 0), 1)</f>
        <v>Production</v>
      </c>
    </row>
    <row r="219" spans="1:14" x14ac:dyDescent="0.25">
      <c r="A219" s="2">
        <v>10131</v>
      </c>
      <c r="B219" s="1" t="s">
        <v>803</v>
      </c>
      <c r="C219" s="1" t="s">
        <v>804</v>
      </c>
      <c r="D219" s="1" t="s">
        <v>805</v>
      </c>
      <c r="E219" s="1" t="s">
        <v>13</v>
      </c>
      <c r="F219" s="1" t="s">
        <v>806</v>
      </c>
      <c r="G219" s="1">
        <v>8</v>
      </c>
      <c r="H219" s="1" t="s">
        <v>29</v>
      </c>
      <c r="I219" s="1">
        <v>0</v>
      </c>
      <c r="J219" s="1" t="s">
        <v>23</v>
      </c>
      <c r="K219" s="1">
        <v>48475</v>
      </c>
      <c r="L219" s="1" t="s">
        <v>24</v>
      </c>
      <c r="M219" s="3" t="s">
        <v>55</v>
      </c>
      <c r="N219" s="1" t="str">
        <f>INDEX(Table3[#All], MATCH(Table13[[#This Row],[Dept_Id]], Table3[[#All],[Dept_Id]], 0), 1)</f>
        <v>Production</v>
      </c>
    </row>
    <row r="220" spans="1:14" x14ac:dyDescent="0.25">
      <c r="A220" s="2">
        <v>205366</v>
      </c>
      <c r="B220" s="1" t="s">
        <v>807</v>
      </c>
      <c r="C220" s="1" t="s">
        <v>808</v>
      </c>
      <c r="D220" s="1" t="s">
        <v>809</v>
      </c>
      <c r="E220" s="1" t="s">
        <v>33</v>
      </c>
      <c r="F220" s="1" t="s">
        <v>810</v>
      </c>
      <c r="G220" s="1">
        <v>9</v>
      </c>
      <c r="H220" s="1" t="s">
        <v>29</v>
      </c>
      <c r="I220" s="1">
        <v>0</v>
      </c>
      <c r="J220" s="1" t="s">
        <v>23</v>
      </c>
      <c r="K220" s="1">
        <v>80518</v>
      </c>
      <c r="L220" s="1" t="s">
        <v>40</v>
      </c>
      <c r="M220" s="3" t="s">
        <v>102</v>
      </c>
      <c r="N220" s="1" t="str">
        <f>INDEX(Table3[#All], MATCH(Table13[[#This Row],[Dept_Id]], Table3[[#All],[Dept_Id]], 0), 1)</f>
        <v>Sales</v>
      </c>
    </row>
    <row r="221" spans="1:14" x14ac:dyDescent="0.25">
      <c r="A221" s="2">
        <v>205366</v>
      </c>
      <c r="B221" s="1" t="s">
        <v>807</v>
      </c>
      <c r="C221" s="1" t="s">
        <v>808</v>
      </c>
      <c r="D221" s="1" t="s">
        <v>809</v>
      </c>
      <c r="E221" s="1" t="s">
        <v>33</v>
      </c>
      <c r="F221" s="1" t="s">
        <v>810</v>
      </c>
      <c r="G221" s="1">
        <v>9</v>
      </c>
      <c r="H221" s="1" t="s">
        <v>29</v>
      </c>
      <c r="I221" s="1">
        <v>0</v>
      </c>
      <c r="J221" s="1" t="s">
        <v>23</v>
      </c>
      <c r="K221" s="1">
        <v>80518</v>
      </c>
      <c r="L221" s="1" t="s">
        <v>89</v>
      </c>
      <c r="M221" s="3" t="s">
        <v>102</v>
      </c>
      <c r="N221" s="1" t="str">
        <f>INDEX(Table3[#All], MATCH(Table13[[#This Row],[Dept_Id]], Table3[[#All],[Dept_Id]], 0), 1)</f>
        <v>Customer Service</v>
      </c>
    </row>
    <row r="222" spans="1:14" x14ac:dyDescent="0.25">
      <c r="A222" s="2">
        <v>10132</v>
      </c>
      <c r="B222" s="1" t="s">
        <v>811</v>
      </c>
      <c r="C222" s="1" t="s">
        <v>812</v>
      </c>
      <c r="D222" s="1" t="s">
        <v>813</v>
      </c>
      <c r="E222" s="1" t="s">
        <v>13</v>
      </c>
      <c r="F222" s="1" t="s">
        <v>814</v>
      </c>
      <c r="G222" s="1">
        <v>6</v>
      </c>
      <c r="H222" s="1" t="s">
        <v>29</v>
      </c>
      <c r="I222" s="1">
        <v>0</v>
      </c>
      <c r="J222" s="1" t="s">
        <v>23</v>
      </c>
      <c r="K222" s="1">
        <v>61590</v>
      </c>
      <c r="L222" s="1" t="s">
        <v>108</v>
      </c>
      <c r="M222" s="3" t="s">
        <v>41</v>
      </c>
      <c r="N222" s="1" t="str">
        <f>INDEX(Table3[#All], MATCH(Table13[[#This Row],[Dept_Id]], Table3[[#All],[Dept_Id]], 0), 1)</f>
        <v>Finance</v>
      </c>
    </row>
    <row r="223" spans="1:14" x14ac:dyDescent="0.25">
      <c r="A223" s="2">
        <v>10133</v>
      </c>
      <c r="B223" s="1" t="s">
        <v>815</v>
      </c>
      <c r="C223" s="1" t="s">
        <v>816</v>
      </c>
      <c r="D223" s="1" t="s">
        <v>817</v>
      </c>
      <c r="E223" s="1" t="s">
        <v>13</v>
      </c>
      <c r="F223" s="1" t="s">
        <v>818</v>
      </c>
      <c r="G223" s="1">
        <v>7</v>
      </c>
      <c r="H223" s="1" t="s">
        <v>35</v>
      </c>
      <c r="I223" s="1">
        <v>0</v>
      </c>
      <c r="J223" s="1" t="s">
        <v>23</v>
      </c>
      <c r="K223" s="1">
        <v>40000</v>
      </c>
      <c r="L223" s="1" t="s">
        <v>24</v>
      </c>
      <c r="M223" s="3" t="s">
        <v>18</v>
      </c>
      <c r="N223" s="1" t="str">
        <f>INDEX(Table3[#All], MATCH(Table13[[#This Row],[Dept_Id]], Table3[[#All],[Dept_Id]], 0), 1)</f>
        <v>Production</v>
      </c>
    </row>
    <row r="224" spans="1:14" x14ac:dyDescent="0.25">
      <c r="A224" s="2">
        <v>101013</v>
      </c>
      <c r="B224" s="1" t="s">
        <v>819</v>
      </c>
      <c r="C224" s="1" t="s">
        <v>820</v>
      </c>
      <c r="D224" s="1" t="s">
        <v>821</v>
      </c>
      <c r="E224" s="1" t="s">
        <v>13</v>
      </c>
      <c r="F224" s="1" t="s">
        <v>822</v>
      </c>
      <c r="G224" s="1">
        <v>10</v>
      </c>
      <c r="H224" s="1" t="s">
        <v>29</v>
      </c>
      <c r="I224" s="1">
        <v>0</v>
      </c>
      <c r="J224" s="1" t="s">
        <v>23</v>
      </c>
      <c r="K224" s="1">
        <v>68550</v>
      </c>
      <c r="L224" s="1" t="s">
        <v>24</v>
      </c>
      <c r="M224" s="3" t="s">
        <v>18</v>
      </c>
      <c r="N224" s="1" t="str">
        <f>INDEX(Table3[#All], MATCH(Table13[[#This Row],[Dept_Id]], Table3[[#All],[Dept_Id]], 0), 1)</f>
        <v>Production</v>
      </c>
    </row>
    <row r="225" spans="1:14" x14ac:dyDescent="0.25">
      <c r="A225" s="2">
        <v>10134</v>
      </c>
      <c r="B225" s="1" t="s">
        <v>823</v>
      </c>
      <c r="C225" s="1" t="s">
        <v>824</v>
      </c>
      <c r="D225" s="1" t="s">
        <v>825</v>
      </c>
      <c r="E225" s="1" t="s">
        <v>13</v>
      </c>
      <c r="F225" s="1" t="s">
        <v>826</v>
      </c>
      <c r="G225" s="1">
        <v>7</v>
      </c>
      <c r="H225" s="1" t="s">
        <v>29</v>
      </c>
      <c r="I225" s="1">
        <v>0</v>
      </c>
      <c r="J225" s="1" t="s">
        <v>23</v>
      </c>
      <c r="K225" s="1">
        <v>40000</v>
      </c>
      <c r="L225" s="1" t="s">
        <v>24</v>
      </c>
      <c r="M225" s="3" t="s">
        <v>18</v>
      </c>
      <c r="N225" s="1" t="str">
        <f>INDEX(Table3[#All], MATCH(Table13[[#This Row],[Dept_Id]], Table3[[#All],[Dept_Id]], 0), 1)</f>
        <v>Production</v>
      </c>
    </row>
    <row r="226" spans="1:14" x14ac:dyDescent="0.25">
      <c r="A226" s="2">
        <v>10134</v>
      </c>
      <c r="B226" s="1" t="s">
        <v>823</v>
      </c>
      <c r="C226" s="1" t="s">
        <v>824</v>
      </c>
      <c r="D226" s="1" t="s">
        <v>825</v>
      </c>
      <c r="E226" s="1" t="s">
        <v>13</v>
      </c>
      <c r="F226" s="1" t="s">
        <v>826</v>
      </c>
      <c r="G226" s="1">
        <v>7</v>
      </c>
      <c r="H226" s="1" t="s">
        <v>29</v>
      </c>
      <c r="I226" s="1">
        <v>0</v>
      </c>
      <c r="J226" s="1" t="s">
        <v>23</v>
      </c>
      <c r="K226" s="1">
        <v>40000</v>
      </c>
      <c r="L226" s="1" t="s">
        <v>17</v>
      </c>
      <c r="M226" s="3" t="s">
        <v>18</v>
      </c>
      <c r="N226" s="1" t="str">
        <f>INDEX(Table3[#All], MATCH(Table13[[#This Row],[Dept_Id]], Table3[[#All],[Dept_Id]], 0), 1)</f>
        <v>Development</v>
      </c>
    </row>
    <row r="227" spans="1:14" x14ac:dyDescent="0.25">
      <c r="A227" s="2">
        <v>212882</v>
      </c>
      <c r="B227" s="1" t="s">
        <v>827</v>
      </c>
      <c r="C227" s="1" t="s">
        <v>828</v>
      </c>
      <c r="D227" s="1" t="s">
        <v>829</v>
      </c>
      <c r="E227" s="1" t="s">
        <v>33</v>
      </c>
      <c r="F227" s="1" t="s">
        <v>830</v>
      </c>
      <c r="G227" s="1">
        <v>2</v>
      </c>
      <c r="H227" s="1" t="s">
        <v>29</v>
      </c>
      <c r="I227" s="1">
        <v>0</v>
      </c>
      <c r="J227" s="1" t="s">
        <v>23</v>
      </c>
      <c r="K227" s="1">
        <v>40000</v>
      </c>
      <c r="L227" s="1" t="s">
        <v>89</v>
      </c>
      <c r="M227" s="3" t="s">
        <v>41</v>
      </c>
      <c r="N227" s="1" t="str">
        <f>INDEX(Table3[#All], MATCH(Table13[[#This Row],[Dept_Id]], Table3[[#All],[Dept_Id]], 0), 1)</f>
        <v>Customer Service</v>
      </c>
    </row>
    <row r="228" spans="1:14" x14ac:dyDescent="0.25">
      <c r="A228" s="2">
        <v>10135</v>
      </c>
      <c r="B228" s="1" t="s">
        <v>831</v>
      </c>
      <c r="C228" s="1" t="s">
        <v>832</v>
      </c>
      <c r="D228" s="1" t="s">
        <v>833</v>
      </c>
      <c r="E228" s="1" t="s">
        <v>13</v>
      </c>
      <c r="F228" s="1" t="s">
        <v>834</v>
      </c>
      <c r="G228" s="1">
        <v>7</v>
      </c>
      <c r="H228" s="1" t="s">
        <v>15</v>
      </c>
      <c r="I228" s="1">
        <v>0</v>
      </c>
      <c r="J228" s="1" t="s">
        <v>23</v>
      </c>
      <c r="K228" s="1">
        <v>40000</v>
      </c>
      <c r="L228" s="1" t="s">
        <v>24</v>
      </c>
      <c r="M228" s="3" t="s">
        <v>55</v>
      </c>
      <c r="N228" s="1" t="str">
        <f>INDEX(Table3[#All], MATCH(Table13[[#This Row],[Dept_Id]], Table3[[#All],[Dept_Id]], 0), 1)</f>
        <v>Production</v>
      </c>
    </row>
    <row r="229" spans="1:14" x14ac:dyDescent="0.25">
      <c r="A229" s="2">
        <v>10136</v>
      </c>
      <c r="B229" s="1" t="s">
        <v>835</v>
      </c>
      <c r="C229" s="1" t="s">
        <v>836</v>
      </c>
      <c r="D229" s="1" t="s">
        <v>837</v>
      </c>
      <c r="E229" s="1" t="s">
        <v>13</v>
      </c>
      <c r="F229" s="1" t="s">
        <v>838</v>
      </c>
      <c r="G229" s="1">
        <v>10</v>
      </c>
      <c r="H229" s="1" t="s">
        <v>15</v>
      </c>
      <c r="I229" s="1">
        <v>0</v>
      </c>
      <c r="J229" s="1" t="s">
        <v>23</v>
      </c>
      <c r="K229" s="1">
        <v>82420</v>
      </c>
      <c r="L229" s="1" t="s">
        <v>40</v>
      </c>
      <c r="M229" s="3" t="s">
        <v>41</v>
      </c>
      <c r="N229" s="1" t="str">
        <f>INDEX(Table3[#All], MATCH(Table13[[#This Row],[Dept_Id]], Table3[[#All],[Dept_Id]], 0), 1)</f>
        <v>Sales</v>
      </c>
    </row>
    <row r="230" spans="1:14" x14ac:dyDescent="0.25">
      <c r="A230" s="2">
        <v>21620</v>
      </c>
      <c r="B230" s="1" t="s">
        <v>839</v>
      </c>
      <c r="C230" s="1" t="s">
        <v>563</v>
      </c>
      <c r="D230" s="1" t="s">
        <v>840</v>
      </c>
      <c r="E230" s="1" t="s">
        <v>13</v>
      </c>
      <c r="F230" s="1" t="s">
        <v>841</v>
      </c>
      <c r="G230" s="1">
        <v>8</v>
      </c>
      <c r="H230" s="1" t="s">
        <v>138</v>
      </c>
      <c r="I230" s="1">
        <v>0</v>
      </c>
      <c r="J230" s="1" t="s">
        <v>23</v>
      </c>
      <c r="K230" s="1">
        <v>40000</v>
      </c>
      <c r="L230" s="1" t="s">
        <v>61</v>
      </c>
      <c r="M230" s="3" t="s">
        <v>41</v>
      </c>
      <c r="N230" s="1" t="str">
        <f>INDEX(Table3[#All], MATCH(Table13[[#This Row],[Dept_Id]], Table3[[#All],[Dept_Id]], 0), 1)</f>
        <v>Research</v>
      </c>
    </row>
    <row r="231" spans="1:14" x14ac:dyDescent="0.25">
      <c r="A231" s="2">
        <v>10137</v>
      </c>
      <c r="B231" s="1" t="s">
        <v>842</v>
      </c>
      <c r="C231" s="1" t="s">
        <v>843</v>
      </c>
      <c r="D231" s="1" t="s">
        <v>844</v>
      </c>
      <c r="E231" s="1" t="s">
        <v>13</v>
      </c>
      <c r="F231" s="1" t="s">
        <v>75</v>
      </c>
      <c r="G231" s="1">
        <v>3</v>
      </c>
      <c r="H231" s="1" t="s">
        <v>35</v>
      </c>
      <c r="I231" s="1">
        <v>0</v>
      </c>
      <c r="J231" s="1" t="s">
        <v>23</v>
      </c>
      <c r="K231" s="1">
        <v>40000</v>
      </c>
      <c r="L231" s="1" t="s">
        <v>89</v>
      </c>
      <c r="M231" s="3" t="s">
        <v>41</v>
      </c>
      <c r="N231" s="1" t="str">
        <f>INDEX(Table3[#All], MATCH(Table13[[#This Row],[Dept_Id]], Table3[[#All],[Dept_Id]], 0), 1)</f>
        <v>Customer Service</v>
      </c>
    </row>
    <row r="232" spans="1:14" x14ac:dyDescent="0.25">
      <c r="A232" s="2">
        <v>10138</v>
      </c>
      <c r="B232" s="1" t="s">
        <v>845</v>
      </c>
      <c r="C232" s="1" t="s">
        <v>163</v>
      </c>
      <c r="D232" s="1" t="s">
        <v>809</v>
      </c>
      <c r="E232" s="1" t="s">
        <v>13</v>
      </c>
      <c r="F232" s="1" t="s">
        <v>846</v>
      </c>
      <c r="G232" s="1">
        <v>5</v>
      </c>
      <c r="H232" s="1" t="s">
        <v>15</v>
      </c>
      <c r="I232" s="1">
        <v>0</v>
      </c>
      <c r="J232" s="1" t="s">
        <v>23</v>
      </c>
      <c r="K232" s="1">
        <v>53574</v>
      </c>
      <c r="L232" s="1" t="s">
        <v>71</v>
      </c>
      <c r="M232" s="3" t="s">
        <v>18</v>
      </c>
      <c r="N232" s="1" t="str">
        <f>INDEX(Table3[#All], MATCH(Table13[[#This Row],[Dept_Id]], Table3[[#All],[Dept_Id]], 0), 1)</f>
        <v>Quality Management</v>
      </c>
    </row>
    <row r="233" spans="1:14" x14ac:dyDescent="0.25">
      <c r="A233" s="2">
        <v>223670</v>
      </c>
      <c r="B233" s="1" t="s">
        <v>847</v>
      </c>
      <c r="C233" s="1" t="s">
        <v>483</v>
      </c>
      <c r="D233" s="1" t="s">
        <v>848</v>
      </c>
      <c r="E233" s="1" t="s">
        <v>33</v>
      </c>
      <c r="F233" s="1" t="s">
        <v>849</v>
      </c>
      <c r="G233" s="1">
        <v>1</v>
      </c>
      <c r="H233" s="1" t="s">
        <v>29</v>
      </c>
      <c r="I233" s="1">
        <v>1</v>
      </c>
      <c r="J233" s="1" t="s">
        <v>850</v>
      </c>
      <c r="K233" s="1">
        <v>40000</v>
      </c>
      <c r="L233" s="1" t="s">
        <v>17</v>
      </c>
      <c r="M233" s="3" t="s">
        <v>18</v>
      </c>
      <c r="N233" s="1" t="str">
        <f>INDEX(Table3[#All], MATCH(Table13[[#This Row],[Dept_Id]], Table3[[#All],[Dept_Id]], 0), 1)</f>
        <v>Development</v>
      </c>
    </row>
    <row r="234" spans="1:14" x14ac:dyDescent="0.25">
      <c r="A234" s="2">
        <v>10139</v>
      </c>
      <c r="B234" s="1" t="s">
        <v>851</v>
      </c>
      <c r="C234" s="1" t="s">
        <v>852</v>
      </c>
      <c r="D234" s="1" t="s">
        <v>853</v>
      </c>
      <c r="E234" s="1" t="s">
        <v>33</v>
      </c>
      <c r="F234" s="1" t="s">
        <v>854</v>
      </c>
      <c r="G234" s="1">
        <v>7</v>
      </c>
      <c r="H234" s="1" t="s">
        <v>370</v>
      </c>
      <c r="I234" s="1">
        <v>0</v>
      </c>
      <c r="J234" s="1" t="s">
        <v>23</v>
      </c>
      <c r="K234" s="1">
        <v>40000</v>
      </c>
      <c r="L234" s="1" t="s">
        <v>17</v>
      </c>
      <c r="M234" s="3" t="s">
        <v>55</v>
      </c>
      <c r="N234" s="1" t="str">
        <f>INDEX(Table3[#All], MATCH(Table13[[#This Row],[Dept_Id]], Table3[[#All],[Dept_Id]], 0), 1)</f>
        <v>Development</v>
      </c>
    </row>
    <row r="235" spans="1:14" x14ac:dyDescent="0.25">
      <c r="A235" s="2">
        <v>10140</v>
      </c>
      <c r="B235" s="1" t="s">
        <v>855</v>
      </c>
      <c r="C235" s="1" t="s">
        <v>856</v>
      </c>
      <c r="D235" s="1" t="s">
        <v>857</v>
      </c>
      <c r="E235" s="1" t="s">
        <v>33</v>
      </c>
      <c r="F235" s="1" t="s">
        <v>858</v>
      </c>
      <c r="G235" s="1">
        <v>2</v>
      </c>
      <c r="H235" s="1" t="s">
        <v>35</v>
      </c>
      <c r="I235" s="1">
        <v>0</v>
      </c>
      <c r="J235" s="1" t="s">
        <v>23</v>
      </c>
      <c r="K235" s="1">
        <v>61352</v>
      </c>
      <c r="L235" s="1" t="s">
        <v>125</v>
      </c>
      <c r="M235" s="3" t="s">
        <v>41</v>
      </c>
      <c r="N235" s="1" t="str">
        <f>INDEX(Table3[#All], MATCH(Table13[[#This Row],[Dept_Id]], Table3[[#All],[Dept_Id]], 0), 1)</f>
        <v>Marketing</v>
      </c>
    </row>
    <row r="236" spans="1:14" x14ac:dyDescent="0.25">
      <c r="A236" s="2">
        <v>209422</v>
      </c>
      <c r="B236" s="1" t="s">
        <v>859</v>
      </c>
      <c r="C236" s="1" t="s">
        <v>860</v>
      </c>
      <c r="D236" s="1" t="s">
        <v>861</v>
      </c>
      <c r="E236" s="1" t="s">
        <v>13</v>
      </c>
      <c r="F236" s="1" t="s">
        <v>862</v>
      </c>
      <c r="G236" s="1">
        <v>2</v>
      </c>
      <c r="H236" s="1" t="s">
        <v>35</v>
      </c>
      <c r="I236" s="1">
        <v>0</v>
      </c>
      <c r="J236" s="1" t="s">
        <v>23</v>
      </c>
      <c r="K236" s="1">
        <v>72780</v>
      </c>
      <c r="L236" s="1" t="s">
        <v>24</v>
      </c>
      <c r="M236" s="3" t="s">
        <v>55</v>
      </c>
      <c r="N236" s="1" t="str">
        <f>INDEX(Table3[#All], MATCH(Table13[[#This Row],[Dept_Id]], Table3[[#All],[Dept_Id]], 0), 1)</f>
        <v>Production</v>
      </c>
    </row>
    <row r="237" spans="1:14" x14ac:dyDescent="0.25">
      <c r="A237" s="2">
        <v>10141</v>
      </c>
      <c r="B237" s="1" t="s">
        <v>863</v>
      </c>
      <c r="C237" s="1" t="s">
        <v>158</v>
      </c>
      <c r="D237" s="1" t="s">
        <v>864</v>
      </c>
      <c r="E237" s="1" t="s">
        <v>33</v>
      </c>
      <c r="F237" s="1" t="s">
        <v>865</v>
      </c>
      <c r="G237" s="1">
        <v>9</v>
      </c>
      <c r="H237" s="1" t="s">
        <v>138</v>
      </c>
      <c r="I237" s="1">
        <v>1</v>
      </c>
      <c r="J237" s="1" t="s">
        <v>866</v>
      </c>
      <c r="K237" s="1">
        <v>62907</v>
      </c>
      <c r="L237" s="1" t="s">
        <v>61</v>
      </c>
      <c r="M237" s="3" t="s">
        <v>102</v>
      </c>
      <c r="N237" s="1" t="str">
        <f>INDEX(Table3[#All], MATCH(Table13[[#This Row],[Dept_Id]], Table3[[#All],[Dept_Id]], 0), 1)</f>
        <v>Research</v>
      </c>
    </row>
    <row r="238" spans="1:14" x14ac:dyDescent="0.25">
      <c r="A238" s="2">
        <v>10142</v>
      </c>
      <c r="B238" s="1" t="s">
        <v>867</v>
      </c>
      <c r="C238" s="1" t="s">
        <v>57</v>
      </c>
      <c r="D238" s="1" t="s">
        <v>868</v>
      </c>
      <c r="E238" s="1" t="s">
        <v>13</v>
      </c>
      <c r="F238" s="1" t="s">
        <v>869</v>
      </c>
      <c r="G238" s="1">
        <v>5</v>
      </c>
      <c r="H238" s="1" t="s">
        <v>15</v>
      </c>
      <c r="I238" s="1">
        <v>0</v>
      </c>
      <c r="J238" s="1" t="s">
        <v>23</v>
      </c>
      <c r="K238" s="1">
        <v>40000</v>
      </c>
      <c r="L238" s="1" t="s">
        <v>17</v>
      </c>
      <c r="M238" s="3" t="s">
        <v>18</v>
      </c>
      <c r="N238" s="1" t="str">
        <f>INDEX(Table3[#All], MATCH(Table13[[#This Row],[Dept_Id]], Table3[[#All],[Dept_Id]], 0), 1)</f>
        <v>Development</v>
      </c>
    </row>
    <row r="239" spans="1:14" x14ac:dyDescent="0.25">
      <c r="A239" s="2">
        <v>403328</v>
      </c>
      <c r="B239" s="1" t="s">
        <v>870</v>
      </c>
      <c r="C239" s="1" t="s">
        <v>871</v>
      </c>
      <c r="D239" s="1" t="s">
        <v>872</v>
      </c>
      <c r="E239" s="1" t="s">
        <v>13</v>
      </c>
      <c r="F239" s="1" t="s">
        <v>873</v>
      </c>
      <c r="G239" s="1">
        <v>4</v>
      </c>
      <c r="H239" s="1" t="s">
        <v>15</v>
      </c>
      <c r="I239" s="1">
        <v>0</v>
      </c>
      <c r="J239" s="1" t="s">
        <v>23</v>
      </c>
      <c r="K239" s="1">
        <v>40000</v>
      </c>
      <c r="L239" s="1" t="s">
        <v>24</v>
      </c>
      <c r="M239" s="3" t="s">
        <v>18</v>
      </c>
      <c r="N239" s="1" t="str">
        <f>INDEX(Table3[#All], MATCH(Table13[[#This Row],[Dept_Id]], Table3[[#All],[Dept_Id]], 0), 1)</f>
        <v>Production</v>
      </c>
    </row>
    <row r="240" spans="1:14" x14ac:dyDescent="0.25">
      <c r="A240" s="2">
        <v>403328</v>
      </c>
      <c r="B240" s="1" t="s">
        <v>870</v>
      </c>
      <c r="C240" s="1" t="s">
        <v>871</v>
      </c>
      <c r="D240" s="1" t="s">
        <v>872</v>
      </c>
      <c r="E240" s="1" t="s">
        <v>13</v>
      </c>
      <c r="F240" s="1" t="s">
        <v>873</v>
      </c>
      <c r="G240" s="1">
        <v>4</v>
      </c>
      <c r="H240" s="1" t="s">
        <v>15</v>
      </c>
      <c r="I240" s="1">
        <v>0</v>
      </c>
      <c r="J240" s="1" t="s">
        <v>23</v>
      </c>
      <c r="K240" s="1">
        <v>40000</v>
      </c>
      <c r="L240" s="1" t="s">
        <v>89</v>
      </c>
      <c r="M240" s="3" t="s">
        <v>18</v>
      </c>
      <c r="N240" s="1" t="str">
        <f>INDEX(Table3[#All], MATCH(Table13[[#This Row],[Dept_Id]], Table3[[#All],[Dept_Id]], 0), 1)</f>
        <v>Customer Service</v>
      </c>
    </row>
    <row r="241" spans="1:14" x14ac:dyDescent="0.25">
      <c r="A241" s="2">
        <v>10143</v>
      </c>
      <c r="B241" s="1" t="s">
        <v>874</v>
      </c>
      <c r="C241" s="1" t="s">
        <v>875</v>
      </c>
      <c r="D241" s="1" t="s">
        <v>402</v>
      </c>
      <c r="E241" s="1" t="s">
        <v>13</v>
      </c>
      <c r="F241" s="1" t="s">
        <v>876</v>
      </c>
      <c r="G241" s="1">
        <v>7</v>
      </c>
      <c r="H241" s="1" t="s">
        <v>29</v>
      </c>
      <c r="I241" s="1">
        <v>0</v>
      </c>
      <c r="J241" s="1" t="s">
        <v>23</v>
      </c>
      <c r="K241" s="1">
        <v>40000</v>
      </c>
      <c r="L241" s="1" t="s">
        <v>17</v>
      </c>
      <c r="M241" s="3" t="s">
        <v>18</v>
      </c>
      <c r="N241" s="1" t="str">
        <f>INDEX(Table3[#All], MATCH(Table13[[#This Row],[Dept_Id]], Table3[[#All],[Dept_Id]], 0), 1)</f>
        <v>Development</v>
      </c>
    </row>
    <row r="242" spans="1:14" x14ac:dyDescent="0.25">
      <c r="A242" s="2">
        <v>10144</v>
      </c>
      <c r="B242" s="1" t="s">
        <v>877</v>
      </c>
      <c r="C242" s="1" t="s">
        <v>878</v>
      </c>
      <c r="D242" s="1" t="s">
        <v>879</v>
      </c>
      <c r="E242" s="1" t="s">
        <v>13</v>
      </c>
      <c r="F242" s="1" t="s">
        <v>445</v>
      </c>
      <c r="G242" s="1">
        <v>1</v>
      </c>
      <c r="H242" s="1" t="s">
        <v>29</v>
      </c>
      <c r="I242" s="1">
        <v>0</v>
      </c>
      <c r="J242" s="1" t="s">
        <v>23</v>
      </c>
      <c r="K242" s="1">
        <v>56720</v>
      </c>
      <c r="L242" s="1" t="s">
        <v>108</v>
      </c>
      <c r="M242" s="3" t="s">
        <v>41</v>
      </c>
      <c r="N242" s="1" t="str">
        <f>INDEX(Table3[#All], MATCH(Table13[[#This Row],[Dept_Id]], Table3[[#All],[Dept_Id]], 0), 1)</f>
        <v>Finance</v>
      </c>
    </row>
    <row r="243" spans="1:14" x14ac:dyDescent="0.25">
      <c r="A243" s="2">
        <v>10144</v>
      </c>
      <c r="B243" s="1" t="s">
        <v>877</v>
      </c>
      <c r="C243" s="1" t="s">
        <v>878</v>
      </c>
      <c r="D243" s="1" t="s">
        <v>879</v>
      </c>
      <c r="E243" s="1" t="s">
        <v>13</v>
      </c>
      <c r="F243" s="1" t="s">
        <v>445</v>
      </c>
      <c r="G243" s="1">
        <v>1</v>
      </c>
      <c r="H243" s="1" t="s">
        <v>29</v>
      </c>
      <c r="I243" s="1">
        <v>0</v>
      </c>
      <c r="J243" s="1" t="s">
        <v>23</v>
      </c>
      <c r="K243" s="1">
        <v>56720</v>
      </c>
      <c r="L243" s="1" t="s">
        <v>46</v>
      </c>
      <c r="M243" s="3" t="s">
        <v>41</v>
      </c>
      <c r="N243" s="1" t="str">
        <f>INDEX(Table3[#All], MATCH(Table13[[#This Row],[Dept_Id]], Table3[[#All],[Dept_Id]], 0), 1)</f>
        <v>Human Resources</v>
      </c>
    </row>
    <row r="244" spans="1:14" x14ac:dyDescent="0.25">
      <c r="A244" s="2">
        <v>292694</v>
      </c>
      <c r="B244" s="1" t="s">
        <v>880</v>
      </c>
      <c r="C244" s="1" t="s">
        <v>881</v>
      </c>
      <c r="D244" s="1" t="s">
        <v>243</v>
      </c>
      <c r="E244" s="1" t="s">
        <v>13</v>
      </c>
      <c r="F244" s="1" t="s">
        <v>882</v>
      </c>
      <c r="G244" s="1">
        <v>10</v>
      </c>
      <c r="H244" s="1" t="s">
        <v>15</v>
      </c>
      <c r="I244" s="1">
        <v>0</v>
      </c>
      <c r="J244" s="1" t="s">
        <v>23</v>
      </c>
      <c r="K244" s="1">
        <v>40000</v>
      </c>
      <c r="L244" s="1" t="s">
        <v>24</v>
      </c>
      <c r="M244" s="3" t="s">
        <v>18</v>
      </c>
      <c r="N244" s="1" t="str">
        <f>INDEX(Table3[#All], MATCH(Table13[[#This Row],[Dept_Id]], Table3[[#All],[Dept_Id]], 0), 1)</f>
        <v>Production</v>
      </c>
    </row>
    <row r="245" spans="1:14" x14ac:dyDescent="0.25">
      <c r="A245" s="2">
        <v>10145</v>
      </c>
      <c r="B245" s="1" t="s">
        <v>883</v>
      </c>
      <c r="C245" s="1" t="s">
        <v>642</v>
      </c>
      <c r="D245" s="1" t="s">
        <v>748</v>
      </c>
      <c r="E245" s="1" t="s">
        <v>33</v>
      </c>
      <c r="F245" s="1" t="s">
        <v>884</v>
      </c>
      <c r="G245" s="1">
        <v>4</v>
      </c>
      <c r="H245" s="1" t="s">
        <v>29</v>
      </c>
      <c r="I245" s="1">
        <v>0</v>
      </c>
      <c r="J245" s="1" t="s">
        <v>23</v>
      </c>
      <c r="K245" s="1">
        <v>47612</v>
      </c>
      <c r="L245" s="1" t="s">
        <v>17</v>
      </c>
      <c r="M245" s="3" t="s">
        <v>55</v>
      </c>
      <c r="N245" s="1" t="str">
        <f>INDEX(Table3[#All], MATCH(Table13[[#This Row],[Dept_Id]], Table3[[#All],[Dept_Id]], 0), 1)</f>
        <v>Development</v>
      </c>
    </row>
    <row r="246" spans="1:14" x14ac:dyDescent="0.25">
      <c r="A246" s="2">
        <v>10146</v>
      </c>
      <c r="B246" s="1" t="s">
        <v>885</v>
      </c>
      <c r="C246" s="1" t="s">
        <v>886</v>
      </c>
      <c r="D246" s="1" t="s">
        <v>887</v>
      </c>
      <c r="E246" s="1" t="s">
        <v>13</v>
      </c>
      <c r="F246" s="1" t="s">
        <v>888</v>
      </c>
      <c r="G246" s="1">
        <v>6</v>
      </c>
      <c r="H246" s="1" t="s">
        <v>35</v>
      </c>
      <c r="I246" s="1">
        <v>0</v>
      </c>
      <c r="J246" s="1" t="s">
        <v>23</v>
      </c>
      <c r="K246" s="1">
        <v>60394</v>
      </c>
      <c r="L246" s="1" t="s">
        <v>108</v>
      </c>
      <c r="M246" s="3" t="s">
        <v>41</v>
      </c>
      <c r="N246" s="1" t="str">
        <f>INDEX(Table3[#All], MATCH(Table13[[#This Row],[Dept_Id]], Table3[[#All],[Dept_Id]], 0), 1)</f>
        <v>Finance</v>
      </c>
    </row>
    <row r="247" spans="1:14" x14ac:dyDescent="0.25">
      <c r="A247" s="2">
        <v>10147</v>
      </c>
      <c r="B247" s="1" t="s">
        <v>889</v>
      </c>
      <c r="C247" s="1" t="s">
        <v>118</v>
      </c>
      <c r="D247" s="1" t="s">
        <v>702</v>
      </c>
      <c r="E247" s="1" t="s">
        <v>13</v>
      </c>
      <c r="F247" s="1" t="s">
        <v>890</v>
      </c>
      <c r="G247" s="1">
        <v>1</v>
      </c>
      <c r="H247" s="1" t="s">
        <v>29</v>
      </c>
      <c r="I247" s="1">
        <v>0</v>
      </c>
      <c r="J247" s="1" t="s">
        <v>23</v>
      </c>
      <c r="K247" s="1">
        <v>40000</v>
      </c>
      <c r="L247" s="1" t="s">
        <v>108</v>
      </c>
      <c r="M247" s="3" t="s">
        <v>41</v>
      </c>
      <c r="N247" s="1" t="str">
        <f>INDEX(Table3[#All], MATCH(Table13[[#This Row],[Dept_Id]], Table3[[#All],[Dept_Id]], 0), 1)</f>
        <v>Finance</v>
      </c>
    </row>
    <row r="248" spans="1:14" x14ac:dyDescent="0.25">
      <c r="A248" s="2">
        <v>270554</v>
      </c>
      <c r="B248" s="1" t="s">
        <v>891</v>
      </c>
      <c r="C248" s="1" t="s">
        <v>892</v>
      </c>
      <c r="D248" s="1" t="s">
        <v>893</v>
      </c>
      <c r="E248" s="1" t="s">
        <v>33</v>
      </c>
      <c r="F248" s="1" t="s">
        <v>894</v>
      </c>
      <c r="G248" s="1">
        <v>7</v>
      </c>
      <c r="H248" s="1" t="s">
        <v>29</v>
      </c>
      <c r="I248" s="1">
        <v>0</v>
      </c>
      <c r="J248" s="1" t="s">
        <v>23</v>
      </c>
      <c r="K248" s="1">
        <v>40000</v>
      </c>
      <c r="L248" s="1" t="s">
        <v>61</v>
      </c>
      <c r="M248" s="3" t="s">
        <v>41</v>
      </c>
      <c r="N248" s="1" t="str">
        <f>INDEX(Table3[#All], MATCH(Table13[[#This Row],[Dept_Id]], Table3[[#All],[Dept_Id]], 0), 1)</f>
        <v>Research</v>
      </c>
    </row>
    <row r="249" spans="1:14" x14ac:dyDescent="0.25">
      <c r="A249" s="2">
        <v>10148</v>
      </c>
      <c r="B249" s="1" t="s">
        <v>895</v>
      </c>
      <c r="C249" s="1" t="s">
        <v>896</v>
      </c>
      <c r="D249" s="1" t="s">
        <v>897</v>
      </c>
      <c r="E249" s="1" t="s">
        <v>13</v>
      </c>
      <c r="F249" s="1" t="s">
        <v>898</v>
      </c>
      <c r="G249" s="1">
        <v>1</v>
      </c>
      <c r="H249" s="1" t="s">
        <v>35</v>
      </c>
      <c r="I249" s="1">
        <v>0</v>
      </c>
      <c r="J249" s="1" t="s">
        <v>23</v>
      </c>
      <c r="K249" s="1">
        <v>63021</v>
      </c>
      <c r="L249" s="1" t="s">
        <v>40</v>
      </c>
      <c r="M249" s="3" t="s">
        <v>41</v>
      </c>
      <c r="N249" s="1" t="str">
        <f>INDEX(Table3[#All], MATCH(Table13[[#This Row],[Dept_Id]], Table3[[#All],[Dept_Id]], 0), 1)</f>
        <v>Sales</v>
      </c>
    </row>
    <row r="250" spans="1:14" x14ac:dyDescent="0.25">
      <c r="A250" s="2">
        <v>10149</v>
      </c>
      <c r="B250" s="1" t="s">
        <v>899</v>
      </c>
      <c r="C250" s="1" t="s">
        <v>900</v>
      </c>
      <c r="D250" s="1" t="s">
        <v>163</v>
      </c>
      <c r="E250" s="1" t="s">
        <v>33</v>
      </c>
      <c r="F250" s="1" t="s">
        <v>901</v>
      </c>
      <c r="G250" s="1">
        <v>7</v>
      </c>
      <c r="H250" s="1" t="s">
        <v>35</v>
      </c>
      <c r="I250" s="1">
        <v>0</v>
      </c>
      <c r="J250" s="1" t="s">
        <v>23</v>
      </c>
      <c r="K250" s="1">
        <v>88740</v>
      </c>
      <c r="L250" s="1" t="s">
        <v>40</v>
      </c>
      <c r="M250" s="3" t="s">
        <v>41</v>
      </c>
      <c r="N250" s="1" t="str">
        <f>INDEX(Table3[#All], MATCH(Table13[[#This Row],[Dept_Id]], Table3[[#All],[Dept_Id]], 0), 1)</f>
        <v>Sales</v>
      </c>
    </row>
    <row r="251" spans="1:14" x14ac:dyDescent="0.25">
      <c r="A251" s="2">
        <v>37601</v>
      </c>
      <c r="B251" s="1" t="s">
        <v>902</v>
      </c>
      <c r="C251" s="1" t="s">
        <v>903</v>
      </c>
      <c r="D251" s="1" t="s">
        <v>904</v>
      </c>
      <c r="E251" s="1" t="s">
        <v>13</v>
      </c>
      <c r="F251" s="1" t="s">
        <v>905</v>
      </c>
      <c r="G251" s="1">
        <v>1</v>
      </c>
      <c r="H251" s="1" t="s">
        <v>29</v>
      </c>
      <c r="I251" s="1">
        <v>0</v>
      </c>
      <c r="J251" s="1" t="s">
        <v>23</v>
      </c>
      <c r="K251" s="1">
        <v>58896</v>
      </c>
      <c r="L251" s="1" t="s">
        <v>40</v>
      </c>
      <c r="M251" s="3" t="s">
        <v>41</v>
      </c>
      <c r="N251" s="1" t="str">
        <f>INDEX(Table3[#All], MATCH(Table13[[#This Row],[Dept_Id]], Table3[[#All],[Dept_Id]], 0), 1)</f>
        <v>Sales</v>
      </c>
    </row>
    <row r="252" spans="1:14" x14ac:dyDescent="0.25">
      <c r="A252" s="2">
        <v>10150</v>
      </c>
      <c r="B252" s="1" t="s">
        <v>906</v>
      </c>
      <c r="C252" s="1" t="s">
        <v>907</v>
      </c>
      <c r="D252" s="1" t="s">
        <v>908</v>
      </c>
      <c r="E252" s="1" t="s">
        <v>33</v>
      </c>
      <c r="F252" s="1" t="s">
        <v>909</v>
      </c>
      <c r="G252" s="1">
        <v>6</v>
      </c>
      <c r="H252" s="1" t="s">
        <v>29</v>
      </c>
      <c r="I252" s="1">
        <v>0</v>
      </c>
      <c r="J252" s="1" t="s">
        <v>23</v>
      </c>
      <c r="K252" s="1">
        <v>70122</v>
      </c>
      <c r="L252" s="1" t="s">
        <v>17</v>
      </c>
      <c r="M252" s="3" t="s">
        <v>18</v>
      </c>
      <c r="N252" s="1" t="str">
        <f>INDEX(Table3[#All], MATCH(Table13[[#This Row],[Dept_Id]], Table3[[#All],[Dept_Id]], 0), 1)</f>
        <v>Development</v>
      </c>
    </row>
    <row r="253" spans="1:14" x14ac:dyDescent="0.25">
      <c r="A253" s="2">
        <v>10151</v>
      </c>
      <c r="B253" s="1" t="s">
        <v>910</v>
      </c>
      <c r="C253" s="1" t="s">
        <v>911</v>
      </c>
      <c r="D253" s="1" t="s">
        <v>912</v>
      </c>
      <c r="E253" s="1" t="s">
        <v>13</v>
      </c>
      <c r="F253" s="1" t="s">
        <v>913</v>
      </c>
      <c r="G253" s="1">
        <v>7</v>
      </c>
      <c r="H253" s="1" t="s">
        <v>15</v>
      </c>
      <c r="I253" s="1">
        <v>0</v>
      </c>
      <c r="J253" s="1" t="s">
        <v>23</v>
      </c>
      <c r="K253" s="1">
        <v>90741</v>
      </c>
      <c r="L253" s="1" t="s">
        <v>40</v>
      </c>
      <c r="M253" s="3" t="s">
        <v>41</v>
      </c>
      <c r="N253" s="1" t="str">
        <f>INDEX(Table3[#All], MATCH(Table13[[#This Row],[Dept_Id]], Table3[[#All],[Dept_Id]], 0), 1)</f>
        <v>Sales</v>
      </c>
    </row>
    <row r="254" spans="1:14" x14ac:dyDescent="0.25">
      <c r="A254" s="2">
        <v>437985</v>
      </c>
      <c r="B254" s="1" t="s">
        <v>914</v>
      </c>
      <c r="C254" s="1" t="s">
        <v>443</v>
      </c>
      <c r="D254" s="1" t="s">
        <v>915</v>
      </c>
      <c r="E254" s="1" t="s">
        <v>13</v>
      </c>
      <c r="F254" s="1" t="s">
        <v>916</v>
      </c>
      <c r="G254" s="1">
        <v>4</v>
      </c>
      <c r="H254" s="1" t="s">
        <v>35</v>
      </c>
      <c r="I254" s="1">
        <v>0</v>
      </c>
      <c r="J254" s="1" t="s">
        <v>23</v>
      </c>
      <c r="K254" s="1">
        <v>53517</v>
      </c>
      <c r="L254" s="1" t="s">
        <v>40</v>
      </c>
      <c r="M254" s="3" t="s">
        <v>41</v>
      </c>
      <c r="N254" s="1" t="str">
        <f>INDEX(Table3[#All], MATCH(Table13[[#This Row],[Dept_Id]], Table3[[#All],[Dept_Id]], 0), 1)</f>
        <v>Sales</v>
      </c>
    </row>
    <row r="255" spans="1:14" x14ac:dyDescent="0.25">
      <c r="A255" s="2">
        <v>10152</v>
      </c>
      <c r="B255" s="1" t="s">
        <v>917</v>
      </c>
      <c r="C255" s="1" t="s">
        <v>918</v>
      </c>
      <c r="D255" s="1" t="s">
        <v>919</v>
      </c>
      <c r="E255" s="1" t="s">
        <v>33</v>
      </c>
      <c r="F255" s="1" t="s">
        <v>920</v>
      </c>
      <c r="G255" s="1">
        <v>10</v>
      </c>
      <c r="H255" s="1" t="s">
        <v>15</v>
      </c>
      <c r="I255" s="1">
        <v>0</v>
      </c>
      <c r="J255" s="1" t="s">
        <v>23</v>
      </c>
      <c r="K255" s="1">
        <v>40000</v>
      </c>
      <c r="L255" s="1" t="s">
        <v>71</v>
      </c>
      <c r="M255" s="3" t="s">
        <v>55</v>
      </c>
      <c r="N255" s="1" t="str">
        <f>INDEX(Table3[#All], MATCH(Table13[[#This Row],[Dept_Id]], Table3[[#All],[Dept_Id]], 0), 1)</f>
        <v>Quality Management</v>
      </c>
    </row>
    <row r="256" spans="1:14" x14ac:dyDescent="0.25">
      <c r="A256" s="2">
        <v>10153</v>
      </c>
      <c r="B256" s="1" t="s">
        <v>921</v>
      </c>
      <c r="C256" s="1" t="s">
        <v>922</v>
      </c>
      <c r="D256" s="1" t="s">
        <v>923</v>
      </c>
      <c r="E256" s="1" t="s">
        <v>13</v>
      </c>
      <c r="F256" s="1" t="s">
        <v>924</v>
      </c>
      <c r="G256" s="1">
        <v>3</v>
      </c>
      <c r="H256" s="1" t="s">
        <v>29</v>
      </c>
      <c r="I256" s="1">
        <v>0</v>
      </c>
      <c r="J256" s="1" t="s">
        <v>23</v>
      </c>
      <c r="K256" s="1">
        <v>54246</v>
      </c>
      <c r="L256" s="1" t="s">
        <v>17</v>
      </c>
      <c r="M256" s="3" t="s">
        <v>66</v>
      </c>
      <c r="N256" s="1" t="str">
        <f>INDEX(Table3[#All], MATCH(Table13[[#This Row],[Dept_Id]], Table3[[#All],[Dept_Id]], 0), 1)</f>
        <v>Development</v>
      </c>
    </row>
    <row r="257" spans="1:14" x14ac:dyDescent="0.25">
      <c r="A257" s="2">
        <v>14097</v>
      </c>
      <c r="B257" s="1" t="s">
        <v>925</v>
      </c>
      <c r="C257" s="1" t="s">
        <v>926</v>
      </c>
      <c r="D257" s="1" t="s">
        <v>927</v>
      </c>
      <c r="E257" s="1" t="s">
        <v>13</v>
      </c>
      <c r="F257" s="1" t="s">
        <v>928</v>
      </c>
      <c r="G257" s="1">
        <v>6</v>
      </c>
      <c r="H257" s="1" t="s">
        <v>15</v>
      </c>
      <c r="I257" s="1">
        <v>0</v>
      </c>
      <c r="J257" s="1" t="s">
        <v>23</v>
      </c>
      <c r="K257" s="1">
        <v>70604</v>
      </c>
      <c r="L257" s="1" t="s">
        <v>108</v>
      </c>
      <c r="M257" s="3" t="s">
        <v>41</v>
      </c>
      <c r="N257" s="1" t="str">
        <f>INDEX(Table3[#All], MATCH(Table13[[#This Row],[Dept_Id]], Table3[[#All],[Dept_Id]], 0), 1)</f>
        <v>Finance</v>
      </c>
    </row>
    <row r="258" spans="1:14" x14ac:dyDescent="0.25">
      <c r="A258" s="2">
        <v>10154</v>
      </c>
      <c r="B258" s="1" t="s">
        <v>929</v>
      </c>
      <c r="C258" s="1" t="s">
        <v>148</v>
      </c>
      <c r="D258" s="1" t="s">
        <v>930</v>
      </c>
      <c r="E258" s="1" t="s">
        <v>33</v>
      </c>
      <c r="F258" s="1" t="s">
        <v>931</v>
      </c>
      <c r="G258" s="1">
        <v>5</v>
      </c>
      <c r="H258" s="1" t="s">
        <v>15</v>
      </c>
      <c r="I258" s="1">
        <v>0</v>
      </c>
      <c r="J258" s="1" t="s">
        <v>23</v>
      </c>
      <c r="K258" s="1">
        <v>40000</v>
      </c>
      <c r="L258" s="1" t="s">
        <v>89</v>
      </c>
      <c r="M258" s="3" t="s">
        <v>41</v>
      </c>
      <c r="N258" s="1" t="str">
        <f>INDEX(Table3[#All], MATCH(Table13[[#This Row],[Dept_Id]], Table3[[#All],[Dept_Id]], 0), 1)</f>
        <v>Customer Service</v>
      </c>
    </row>
    <row r="259" spans="1:14" x14ac:dyDescent="0.25">
      <c r="A259" s="2">
        <v>10155</v>
      </c>
      <c r="B259" s="1" t="s">
        <v>932</v>
      </c>
      <c r="C259" s="1" t="s">
        <v>933</v>
      </c>
      <c r="D259" s="1" t="s">
        <v>934</v>
      </c>
      <c r="E259" s="1" t="s">
        <v>13</v>
      </c>
      <c r="F259" s="1" t="s">
        <v>935</v>
      </c>
      <c r="G259" s="1">
        <v>7</v>
      </c>
      <c r="H259" s="1" t="s">
        <v>138</v>
      </c>
      <c r="I259" s="1">
        <v>0</v>
      </c>
      <c r="J259" s="1" t="s">
        <v>23</v>
      </c>
      <c r="K259" s="1">
        <v>40040</v>
      </c>
      <c r="L259" s="1" t="s">
        <v>24</v>
      </c>
      <c r="M259" s="3" t="s">
        <v>41</v>
      </c>
      <c r="N259" s="1" t="str">
        <f>INDEX(Table3[#All], MATCH(Table13[[#This Row],[Dept_Id]], Table3[[#All],[Dept_Id]], 0), 1)</f>
        <v>Production</v>
      </c>
    </row>
    <row r="260" spans="1:14" x14ac:dyDescent="0.25">
      <c r="A260" s="2">
        <v>10155</v>
      </c>
      <c r="B260" s="1" t="s">
        <v>932</v>
      </c>
      <c r="C260" s="1" t="s">
        <v>933</v>
      </c>
      <c r="D260" s="1" t="s">
        <v>934</v>
      </c>
      <c r="E260" s="1" t="s">
        <v>13</v>
      </c>
      <c r="F260" s="1" t="s">
        <v>935</v>
      </c>
      <c r="G260" s="1">
        <v>7</v>
      </c>
      <c r="H260" s="1" t="s">
        <v>138</v>
      </c>
      <c r="I260" s="1">
        <v>0</v>
      </c>
      <c r="J260" s="1" t="s">
        <v>23</v>
      </c>
      <c r="K260" s="1">
        <v>40040</v>
      </c>
      <c r="L260" s="1" t="s">
        <v>61</v>
      </c>
      <c r="M260" s="3" t="s">
        <v>41</v>
      </c>
      <c r="N260" s="1" t="str">
        <f>INDEX(Table3[#All], MATCH(Table13[[#This Row],[Dept_Id]], Table3[[#All],[Dept_Id]], 0), 1)</f>
        <v>Research</v>
      </c>
    </row>
    <row r="261" spans="1:14" x14ac:dyDescent="0.25">
      <c r="A261" s="2">
        <v>221689</v>
      </c>
      <c r="B261" s="1" t="s">
        <v>936</v>
      </c>
      <c r="C261" s="1" t="s">
        <v>937</v>
      </c>
      <c r="D261" s="1" t="s">
        <v>938</v>
      </c>
      <c r="E261" s="1" t="s">
        <v>33</v>
      </c>
      <c r="F261" s="1" t="s">
        <v>939</v>
      </c>
      <c r="G261" s="1">
        <v>8</v>
      </c>
      <c r="H261" s="1" t="s">
        <v>35</v>
      </c>
      <c r="I261" s="1">
        <v>0</v>
      </c>
      <c r="J261" s="1" t="s">
        <v>23</v>
      </c>
      <c r="K261" s="1">
        <v>67589</v>
      </c>
      <c r="L261" s="1" t="s">
        <v>17</v>
      </c>
      <c r="M261" s="3" t="s">
        <v>18</v>
      </c>
      <c r="N261" s="1" t="str">
        <f>INDEX(Table3[#All], MATCH(Table13[[#This Row],[Dept_Id]], Table3[[#All],[Dept_Id]], 0), 1)</f>
        <v>Development</v>
      </c>
    </row>
    <row r="262" spans="1:14" x14ac:dyDescent="0.25">
      <c r="A262" s="2">
        <v>10156</v>
      </c>
      <c r="B262" s="1" t="s">
        <v>291</v>
      </c>
      <c r="C262" s="1" t="s">
        <v>940</v>
      </c>
      <c r="D262" s="1" t="s">
        <v>941</v>
      </c>
      <c r="E262" s="1" t="s">
        <v>13</v>
      </c>
      <c r="F262" s="1" t="s">
        <v>942</v>
      </c>
      <c r="G262" s="1">
        <v>5</v>
      </c>
      <c r="H262" s="1" t="s">
        <v>35</v>
      </c>
      <c r="I262" s="1">
        <v>0</v>
      </c>
      <c r="J262" s="1" t="s">
        <v>23</v>
      </c>
      <c r="K262" s="1">
        <v>49879</v>
      </c>
      <c r="L262" s="1" t="s">
        <v>71</v>
      </c>
      <c r="M262" s="3" t="s">
        <v>18</v>
      </c>
      <c r="N262" s="1" t="str">
        <f>INDEX(Table3[#All], MATCH(Table13[[#This Row],[Dept_Id]], Table3[[#All],[Dept_Id]], 0), 1)</f>
        <v>Quality Management</v>
      </c>
    </row>
    <row r="263" spans="1:14" x14ac:dyDescent="0.25">
      <c r="A263" s="2">
        <v>62117</v>
      </c>
      <c r="B263" s="1" t="s">
        <v>371</v>
      </c>
      <c r="C263" s="1" t="s">
        <v>167</v>
      </c>
      <c r="D263" s="1" t="s">
        <v>943</v>
      </c>
      <c r="E263" s="1" t="s">
        <v>33</v>
      </c>
      <c r="F263" s="1" t="s">
        <v>944</v>
      </c>
      <c r="G263" s="1">
        <v>7</v>
      </c>
      <c r="H263" s="1" t="s">
        <v>35</v>
      </c>
      <c r="I263" s="1">
        <v>0</v>
      </c>
      <c r="J263" s="1" t="s">
        <v>23</v>
      </c>
      <c r="K263" s="1">
        <v>40000</v>
      </c>
      <c r="L263" s="1" t="s">
        <v>17</v>
      </c>
      <c r="M263" s="3" t="s">
        <v>18</v>
      </c>
      <c r="N263" s="1" t="str">
        <f>INDEX(Table3[#All], MATCH(Table13[[#This Row],[Dept_Id]], Table3[[#All],[Dept_Id]], 0), 1)</f>
        <v>Development</v>
      </c>
    </row>
    <row r="264" spans="1:14" x14ac:dyDescent="0.25">
      <c r="A264" s="2">
        <v>10157</v>
      </c>
      <c r="B264" s="1" t="s">
        <v>945</v>
      </c>
      <c r="C264" s="1" t="s">
        <v>946</v>
      </c>
      <c r="D264" s="1" t="s">
        <v>947</v>
      </c>
      <c r="E264" s="1" t="s">
        <v>13</v>
      </c>
      <c r="F264" s="1" t="s">
        <v>948</v>
      </c>
      <c r="G264" s="1">
        <v>8</v>
      </c>
      <c r="H264" s="1" t="s">
        <v>15</v>
      </c>
      <c r="I264" s="1">
        <v>0</v>
      </c>
      <c r="J264" s="1" t="s">
        <v>23</v>
      </c>
      <c r="K264" s="1">
        <v>48770</v>
      </c>
      <c r="L264" s="1" t="s">
        <v>17</v>
      </c>
      <c r="M264" s="3" t="s">
        <v>18</v>
      </c>
      <c r="N264" s="1" t="str">
        <f>INDEX(Table3[#All], MATCH(Table13[[#This Row],[Dept_Id]], Table3[[#All],[Dept_Id]], 0), 1)</f>
        <v>Development</v>
      </c>
    </row>
    <row r="265" spans="1:14" x14ac:dyDescent="0.25">
      <c r="A265" s="2">
        <v>10158</v>
      </c>
      <c r="B265" s="1" t="s">
        <v>949</v>
      </c>
      <c r="C265" s="1" t="s">
        <v>950</v>
      </c>
      <c r="D265" s="1" t="s">
        <v>951</v>
      </c>
      <c r="E265" s="1" t="s">
        <v>13</v>
      </c>
      <c r="F265" s="1" t="s">
        <v>952</v>
      </c>
      <c r="G265" s="1">
        <v>10</v>
      </c>
      <c r="H265" s="1" t="s">
        <v>29</v>
      </c>
      <c r="I265" s="1">
        <v>1</v>
      </c>
      <c r="J265" s="1" t="s">
        <v>953</v>
      </c>
      <c r="K265" s="1">
        <v>40725</v>
      </c>
      <c r="L265" s="1" t="s">
        <v>24</v>
      </c>
      <c r="M265" s="3" t="s">
        <v>18</v>
      </c>
      <c r="N265" s="1" t="str">
        <f>INDEX(Table3[#All], MATCH(Table13[[#This Row],[Dept_Id]], Table3[[#All],[Dept_Id]], 0), 1)</f>
        <v>Production</v>
      </c>
    </row>
    <row r="266" spans="1:14" x14ac:dyDescent="0.25">
      <c r="A266" s="2">
        <v>213813</v>
      </c>
      <c r="B266" s="1" t="s">
        <v>954</v>
      </c>
      <c r="C266" s="1" t="s">
        <v>955</v>
      </c>
      <c r="D266" s="1" t="s">
        <v>956</v>
      </c>
      <c r="E266" s="1" t="s">
        <v>13</v>
      </c>
      <c r="F266" s="1" t="s">
        <v>957</v>
      </c>
      <c r="G266" s="1">
        <v>10</v>
      </c>
      <c r="H266" s="1" t="s">
        <v>35</v>
      </c>
      <c r="I266" s="1">
        <v>0</v>
      </c>
      <c r="J266" s="1" t="s">
        <v>23</v>
      </c>
      <c r="K266" s="1">
        <v>51196</v>
      </c>
      <c r="L266" s="1" t="s">
        <v>108</v>
      </c>
      <c r="M266" s="3" t="s">
        <v>41</v>
      </c>
      <c r="N266" s="1" t="str">
        <f>INDEX(Table3[#All], MATCH(Table13[[#This Row],[Dept_Id]], Table3[[#All],[Dept_Id]], 0), 1)</f>
        <v>Finance</v>
      </c>
    </row>
    <row r="267" spans="1:14" x14ac:dyDescent="0.25">
      <c r="A267" s="2">
        <v>10159</v>
      </c>
      <c r="B267" s="1" t="s">
        <v>958</v>
      </c>
      <c r="C267" s="1" t="s">
        <v>959</v>
      </c>
      <c r="D267" s="1" t="s">
        <v>960</v>
      </c>
      <c r="E267" s="1" t="s">
        <v>13</v>
      </c>
      <c r="F267" s="1" t="s">
        <v>961</v>
      </c>
      <c r="G267" s="1">
        <v>5</v>
      </c>
      <c r="H267" s="1" t="s">
        <v>35</v>
      </c>
      <c r="I267" s="1">
        <v>0</v>
      </c>
      <c r="J267" s="1" t="s">
        <v>23</v>
      </c>
      <c r="K267" s="1">
        <v>52881</v>
      </c>
      <c r="L267" s="1" t="s">
        <v>71</v>
      </c>
      <c r="M267" s="3" t="s">
        <v>18</v>
      </c>
      <c r="N267" s="1" t="str">
        <f>INDEX(Table3[#All], MATCH(Table13[[#This Row],[Dept_Id]], Table3[[#All],[Dept_Id]], 0), 1)</f>
        <v>Quality Management</v>
      </c>
    </row>
    <row r="268" spans="1:14" x14ac:dyDescent="0.25">
      <c r="A268" s="2">
        <v>10160</v>
      </c>
      <c r="B268" s="1" t="s">
        <v>962</v>
      </c>
      <c r="C268" s="1" t="s">
        <v>963</v>
      </c>
      <c r="D268" s="1" t="s">
        <v>964</v>
      </c>
      <c r="E268" s="1" t="s">
        <v>13</v>
      </c>
      <c r="F268" s="1" t="s">
        <v>965</v>
      </c>
      <c r="G268" s="1">
        <v>5</v>
      </c>
      <c r="H268" s="1" t="s">
        <v>15</v>
      </c>
      <c r="I268" s="1">
        <v>0</v>
      </c>
      <c r="J268" s="1" t="s">
        <v>23</v>
      </c>
      <c r="K268" s="1">
        <v>91622</v>
      </c>
      <c r="L268" s="1" t="s">
        <v>40</v>
      </c>
      <c r="M268" s="3" t="s">
        <v>41</v>
      </c>
      <c r="N268" s="1" t="str">
        <f>INDEX(Table3[#All], MATCH(Table13[[#This Row],[Dept_Id]], Table3[[#All],[Dept_Id]], 0), 1)</f>
        <v>Sales</v>
      </c>
    </row>
    <row r="269" spans="1:14" x14ac:dyDescent="0.25">
      <c r="A269" s="2">
        <v>28823</v>
      </c>
      <c r="B269" s="1" t="s">
        <v>966</v>
      </c>
      <c r="C269" s="1" t="s">
        <v>967</v>
      </c>
      <c r="D269" s="1" t="s">
        <v>968</v>
      </c>
      <c r="E269" s="1" t="s">
        <v>13</v>
      </c>
      <c r="F269" s="1" t="s">
        <v>969</v>
      </c>
      <c r="G269" s="1">
        <v>2</v>
      </c>
      <c r="H269" s="1" t="s">
        <v>35</v>
      </c>
      <c r="I269" s="1">
        <v>0</v>
      </c>
      <c r="J269" s="1" t="s">
        <v>23</v>
      </c>
      <c r="K269" s="1">
        <v>62549</v>
      </c>
      <c r="L269" s="1" t="s">
        <v>40</v>
      </c>
      <c r="M269" s="3" t="s">
        <v>41</v>
      </c>
      <c r="N269" s="1" t="str">
        <f>INDEX(Table3[#All], MATCH(Table13[[#This Row],[Dept_Id]], Table3[[#All],[Dept_Id]], 0), 1)</f>
        <v>Sales</v>
      </c>
    </row>
    <row r="270" spans="1:14" x14ac:dyDescent="0.25">
      <c r="A270" s="2">
        <v>10161</v>
      </c>
      <c r="B270" s="1" t="s">
        <v>970</v>
      </c>
      <c r="C270" s="1" t="s">
        <v>381</v>
      </c>
      <c r="D270" s="1" t="s">
        <v>971</v>
      </c>
      <c r="E270" s="1" t="s">
        <v>33</v>
      </c>
      <c r="F270" s="1" t="s">
        <v>972</v>
      </c>
      <c r="G270" s="1">
        <v>4</v>
      </c>
      <c r="H270" s="1" t="s">
        <v>29</v>
      </c>
      <c r="I270" s="1">
        <v>0</v>
      </c>
      <c r="J270" s="1" t="s">
        <v>23</v>
      </c>
      <c r="K270" s="1">
        <v>43149</v>
      </c>
      <c r="L270" s="1" t="s">
        <v>24</v>
      </c>
      <c r="M270" s="3" t="s">
        <v>55</v>
      </c>
      <c r="N270" s="1" t="str">
        <f>INDEX(Table3[#All], MATCH(Table13[[#This Row],[Dept_Id]], Table3[[#All],[Dept_Id]], 0), 1)</f>
        <v>Production</v>
      </c>
    </row>
    <row r="271" spans="1:14" x14ac:dyDescent="0.25">
      <c r="A271" s="2">
        <v>10162</v>
      </c>
      <c r="B271" s="1" t="s">
        <v>973</v>
      </c>
      <c r="C271" s="1" t="s">
        <v>974</v>
      </c>
      <c r="D271" s="1" t="s">
        <v>551</v>
      </c>
      <c r="E271" s="1" t="s">
        <v>13</v>
      </c>
      <c r="F271" s="1" t="s">
        <v>975</v>
      </c>
      <c r="G271" s="1">
        <v>1</v>
      </c>
      <c r="H271" s="1" t="s">
        <v>15</v>
      </c>
      <c r="I271" s="1">
        <v>0</v>
      </c>
      <c r="J271" s="1" t="s">
        <v>23</v>
      </c>
      <c r="K271" s="1">
        <v>40000</v>
      </c>
      <c r="L271" s="1" t="s">
        <v>24</v>
      </c>
      <c r="M271" s="3" t="s">
        <v>55</v>
      </c>
      <c r="N271" s="1" t="str">
        <f>INDEX(Table3[#All], MATCH(Table13[[#This Row],[Dept_Id]], Table3[[#All],[Dept_Id]], 0), 1)</f>
        <v>Production</v>
      </c>
    </row>
    <row r="272" spans="1:14" x14ac:dyDescent="0.25">
      <c r="A272" s="2">
        <v>284330</v>
      </c>
      <c r="B272" s="1" t="s">
        <v>976</v>
      </c>
      <c r="C272" s="1" t="s">
        <v>977</v>
      </c>
      <c r="D272" s="1" t="s">
        <v>978</v>
      </c>
      <c r="E272" s="1" t="s">
        <v>33</v>
      </c>
      <c r="F272" s="1" t="s">
        <v>979</v>
      </c>
      <c r="G272" s="1">
        <v>5</v>
      </c>
      <c r="H272" s="1" t="s">
        <v>29</v>
      </c>
      <c r="I272" s="1">
        <v>0</v>
      </c>
      <c r="J272" s="1" t="s">
        <v>23</v>
      </c>
      <c r="K272" s="1">
        <v>43654</v>
      </c>
      <c r="L272" s="1" t="s">
        <v>24</v>
      </c>
      <c r="M272" s="3" t="s">
        <v>55</v>
      </c>
      <c r="N272" s="1" t="str">
        <f>INDEX(Table3[#All], MATCH(Table13[[#This Row],[Dept_Id]], Table3[[#All],[Dept_Id]], 0), 1)</f>
        <v>Production</v>
      </c>
    </row>
    <row r="273" spans="1:14" x14ac:dyDescent="0.25">
      <c r="A273" s="2">
        <v>10163</v>
      </c>
      <c r="B273" s="1" t="s">
        <v>980</v>
      </c>
      <c r="C273" s="1" t="s">
        <v>214</v>
      </c>
      <c r="D273" s="1" t="s">
        <v>981</v>
      </c>
      <c r="E273" s="1" t="s">
        <v>13</v>
      </c>
      <c r="F273" s="1" t="s">
        <v>982</v>
      </c>
      <c r="G273" s="1">
        <v>3</v>
      </c>
      <c r="H273" s="1" t="s">
        <v>15</v>
      </c>
      <c r="I273" s="1">
        <v>0</v>
      </c>
      <c r="J273" s="1" t="s">
        <v>23</v>
      </c>
      <c r="K273" s="1">
        <v>41603</v>
      </c>
      <c r="L273" s="1" t="s">
        <v>46</v>
      </c>
      <c r="M273" s="3" t="s">
        <v>102</v>
      </c>
      <c r="N273" s="1" t="str">
        <f>INDEX(Table3[#All], MATCH(Table13[[#This Row],[Dept_Id]], Table3[[#All],[Dept_Id]], 0), 1)</f>
        <v>Human Resources</v>
      </c>
    </row>
    <row r="274" spans="1:14" x14ac:dyDescent="0.25">
      <c r="A274" s="2">
        <v>10164</v>
      </c>
      <c r="B274" s="1" t="s">
        <v>983</v>
      </c>
      <c r="C274" s="1" t="s">
        <v>984</v>
      </c>
      <c r="D274" s="1" t="s">
        <v>985</v>
      </c>
      <c r="E274" s="1" t="s">
        <v>13</v>
      </c>
      <c r="F274" s="1" t="s">
        <v>986</v>
      </c>
      <c r="G274" s="1">
        <v>9</v>
      </c>
      <c r="H274" s="1" t="s">
        <v>29</v>
      </c>
      <c r="I274" s="1">
        <v>0</v>
      </c>
      <c r="J274" s="1" t="s">
        <v>23</v>
      </c>
      <c r="K274" s="1">
        <v>52043</v>
      </c>
      <c r="L274" s="1" t="s">
        <v>24</v>
      </c>
      <c r="M274" s="3" t="s">
        <v>18</v>
      </c>
      <c r="N274" s="1" t="str">
        <f>INDEX(Table3[#All], MATCH(Table13[[#This Row],[Dept_Id]], Table3[[#All],[Dept_Id]], 0), 1)</f>
        <v>Production</v>
      </c>
    </row>
    <row r="275" spans="1:14" x14ac:dyDescent="0.25">
      <c r="A275" s="2">
        <v>10164</v>
      </c>
      <c r="B275" s="1" t="s">
        <v>983</v>
      </c>
      <c r="C275" s="1" t="s">
        <v>984</v>
      </c>
      <c r="D275" s="1" t="s">
        <v>985</v>
      </c>
      <c r="E275" s="1" t="s">
        <v>13</v>
      </c>
      <c r="F275" s="1" t="s">
        <v>986</v>
      </c>
      <c r="G275" s="1">
        <v>9</v>
      </c>
      <c r="H275" s="1" t="s">
        <v>29</v>
      </c>
      <c r="I275" s="1">
        <v>0</v>
      </c>
      <c r="J275" s="1" t="s">
        <v>23</v>
      </c>
      <c r="K275" s="1">
        <v>52043</v>
      </c>
      <c r="L275" s="1" t="s">
        <v>89</v>
      </c>
      <c r="M275" s="3" t="s">
        <v>18</v>
      </c>
      <c r="N275" s="1" t="str">
        <f>INDEX(Table3[#All], MATCH(Table13[[#This Row],[Dept_Id]], Table3[[#All],[Dept_Id]], 0), 1)</f>
        <v>Customer Service</v>
      </c>
    </row>
    <row r="276" spans="1:14" x14ac:dyDescent="0.25">
      <c r="A276" s="2">
        <v>107258</v>
      </c>
      <c r="B276" s="1" t="s">
        <v>987</v>
      </c>
      <c r="C276" s="1" t="s">
        <v>520</v>
      </c>
      <c r="D276" s="1" t="s">
        <v>988</v>
      </c>
      <c r="E276" s="1" t="s">
        <v>33</v>
      </c>
      <c r="F276" s="1" t="s">
        <v>989</v>
      </c>
      <c r="G276" s="1">
        <v>4</v>
      </c>
      <c r="H276" s="1" t="s">
        <v>29</v>
      </c>
      <c r="I276" s="1">
        <v>0</v>
      </c>
      <c r="J276" s="1" t="s">
        <v>23</v>
      </c>
      <c r="K276" s="1">
        <v>87036</v>
      </c>
      <c r="L276" s="1" t="s">
        <v>40</v>
      </c>
      <c r="M276" s="3" t="s">
        <v>41</v>
      </c>
      <c r="N276" s="1" t="str">
        <f>INDEX(Table3[#All], MATCH(Table13[[#This Row],[Dept_Id]], Table3[[#All],[Dept_Id]], 0), 1)</f>
        <v>Sales</v>
      </c>
    </row>
    <row r="277" spans="1:14" x14ac:dyDescent="0.25">
      <c r="A277" s="2">
        <v>10165</v>
      </c>
      <c r="B277" s="1" t="s">
        <v>990</v>
      </c>
      <c r="C277" s="1" t="s">
        <v>991</v>
      </c>
      <c r="D277" s="1" t="s">
        <v>992</v>
      </c>
      <c r="E277" s="1" t="s">
        <v>13</v>
      </c>
      <c r="F277" s="1" t="s">
        <v>993</v>
      </c>
      <c r="G277" s="1">
        <v>5</v>
      </c>
      <c r="H277" s="1" t="s">
        <v>15</v>
      </c>
      <c r="I277" s="1">
        <v>0</v>
      </c>
      <c r="J277" s="1" t="s">
        <v>23</v>
      </c>
      <c r="K277" s="1">
        <v>43991</v>
      </c>
      <c r="L277" s="1" t="s">
        <v>108</v>
      </c>
      <c r="M277" s="3" t="s">
        <v>102</v>
      </c>
      <c r="N277" s="1" t="str">
        <f>INDEX(Table3[#All], MATCH(Table13[[#This Row],[Dept_Id]], Table3[[#All],[Dept_Id]], 0), 1)</f>
        <v>Finance</v>
      </c>
    </row>
    <row r="278" spans="1:14" x14ac:dyDescent="0.25">
      <c r="A278" s="2">
        <v>209527</v>
      </c>
      <c r="B278" s="1" t="s">
        <v>994</v>
      </c>
      <c r="C278" s="1" t="s">
        <v>995</v>
      </c>
      <c r="D278" s="1" t="s">
        <v>996</v>
      </c>
      <c r="E278" s="1" t="s">
        <v>13</v>
      </c>
      <c r="F278" s="1" t="s">
        <v>997</v>
      </c>
      <c r="G278" s="1">
        <v>1</v>
      </c>
      <c r="H278" s="1" t="s">
        <v>29</v>
      </c>
      <c r="I278" s="1">
        <v>0</v>
      </c>
      <c r="J278" s="1" t="s">
        <v>23</v>
      </c>
      <c r="K278" s="1">
        <v>40000</v>
      </c>
      <c r="L278" s="1" t="s">
        <v>89</v>
      </c>
      <c r="M278" s="3" t="s">
        <v>41</v>
      </c>
      <c r="N278" s="1" t="str">
        <f>INDEX(Table3[#All], MATCH(Table13[[#This Row],[Dept_Id]], Table3[[#All],[Dept_Id]], 0), 1)</f>
        <v>Customer Service</v>
      </c>
    </row>
    <row r="279" spans="1:14" x14ac:dyDescent="0.25">
      <c r="A279" s="2">
        <v>10166</v>
      </c>
      <c r="B279" s="1" t="s">
        <v>998</v>
      </c>
      <c r="C279" s="1" t="s">
        <v>999</v>
      </c>
      <c r="D279" s="1" t="s">
        <v>1000</v>
      </c>
      <c r="E279" s="1" t="s">
        <v>33</v>
      </c>
      <c r="F279" s="1" t="s">
        <v>1001</v>
      </c>
      <c r="G279" s="1">
        <v>9</v>
      </c>
      <c r="H279" s="1" t="s">
        <v>35</v>
      </c>
      <c r="I279" s="1">
        <v>0</v>
      </c>
      <c r="J279" s="1" t="s">
        <v>23</v>
      </c>
      <c r="K279" s="1">
        <v>51586</v>
      </c>
      <c r="L279" s="1" t="s">
        <v>17</v>
      </c>
      <c r="M279" s="3" t="s">
        <v>55</v>
      </c>
      <c r="N279" s="1" t="str">
        <f>INDEX(Table3[#All], MATCH(Table13[[#This Row],[Dept_Id]], Table3[[#All],[Dept_Id]], 0), 1)</f>
        <v>Development</v>
      </c>
    </row>
    <row r="280" spans="1:14" x14ac:dyDescent="0.25">
      <c r="A280" s="2">
        <v>10167</v>
      </c>
      <c r="B280" s="1" t="s">
        <v>1002</v>
      </c>
      <c r="C280" s="1" t="s">
        <v>77</v>
      </c>
      <c r="D280" s="1" t="s">
        <v>1003</v>
      </c>
      <c r="E280" s="1" t="s">
        <v>13</v>
      </c>
      <c r="F280" s="1" t="s">
        <v>1004</v>
      </c>
      <c r="G280" s="1">
        <v>5</v>
      </c>
      <c r="H280" s="1" t="s">
        <v>138</v>
      </c>
      <c r="I280" s="1">
        <v>0</v>
      </c>
      <c r="J280" s="1" t="s">
        <v>23</v>
      </c>
      <c r="K280" s="1">
        <v>56990</v>
      </c>
      <c r="L280" s="1" t="s">
        <v>24</v>
      </c>
      <c r="M280" s="3" t="s">
        <v>18</v>
      </c>
      <c r="N280" s="1" t="str">
        <f>INDEX(Table3[#All], MATCH(Table13[[#This Row],[Dept_Id]], Table3[[#All],[Dept_Id]], 0), 1)</f>
        <v>Production</v>
      </c>
    </row>
    <row r="281" spans="1:14" x14ac:dyDescent="0.25">
      <c r="A281" s="2">
        <v>207774</v>
      </c>
      <c r="B281" s="1" t="s">
        <v>1005</v>
      </c>
      <c r="C281" s="1" t="s">
        <v>1006</v>
      </c>
      <c r="D281" s="1" t="s">
        <v>1007</v>
      </c>
      <c r="E281" s="1" t="s">
        <v>13</v>
      </c>
      <c r="F281" s="1" t="s">
        <v>1008</v>
      </c>
      <c r="G281" s="1">
        <v>2</v>
      </c>
      <c r="H281" s="1" t="s">
        <v>35</v>
      </c>
      <c r="I281" s="1">
        <v>0</v>
      </c>
      <c r="J281" s="1" t="s">
        <v>23</v>
      </c>
      <c r="K281" s="1">
        <v>53722</v>
      </c>
      <c r="L281" s="1" t="s">
        <v>46</v>
      </c>
      <c r="M281" s="3" t="s">
        <v>41</v>
      </c>
      <c r="N281" s="1" t="str">
        <f>INDEX(Table3[#All], MATCH(Table13[[#This Row],[Dept_Id]], Table3[[#All],[Dept_Id]], 0), 1)</f>
        <v>Human Resources</v>
      </c>
    </row>
    <row r="282" spans="1:14" x14ac:dyDescent="0.25">
      <c r="A282" s="2">
        <v>10168</v>
      </c>
      <c r="B282" s="1" t="s">
        <v>1009</v>
      </c>
      <c r="C282" s="1" t="s">
        <v>1010</v>
      </c>
      <c r="D282" s="1" t="s">
        <v>1011</v>
      </c>
      <c r="E282" s="1" t="s">
        <v>13</v>
      </c>
      <c r="F282" s="1" t="s">
        <v>1012</v>
      </c>
      <c r="G282" s="1">
        <v>1</v>
      </c>
      <c r="H282" s="1" t="s">
        <v>15</v>
      </c>
      <c r="I282" s="1">
        <v>0</v>
      </c>
      <c r="J282" s="1" t="s">
        <v>23</v>
      </c>
      <c r="K282" s="1">
        <v>51818</v>
      </c>
      <c r="L282" s="1" t="s">
        <v>61</v>
      </c>
      <c r="M282" s="3" t="s">
        <v>41</v>
      </c>
      <c r="N282" s="1" t="str">
        <f>INDEX(Table3[#All], MATCH(Table13[[#This Row],[Dept_Id]], Table3[[#All],[Dept_Id]], 0), 1)</f>
        <v>Research</v>
      </c>
    </row>
    <row r="283" spans="1:14" x14ac:dyDescent="0.25">
      <c r="A283" s="2">
        <v>10169</v>
      </c>
      <c r="B283" s="1" t="s">
        <v>1013</v>
      </c>
      <c r="C283" s="1" t="s">
        <v>1014</v>
      </c>
      <c r="D283" s="1" t="s">
        <v>1015</v>
      </c>
      <c r="E283" s="1" t="s">
        <v>33</v>
      </c>
      <c r="F283" s="1" t="s">
        <v>1016</v>
      </c>
      <c r="G283" s="1">
        <v>6</v>
      </c>
      <c r="H283" s="1" t="s">
        <v>15</v>
      </c>
      <c r="I283" s="1">
        <v>0</v>
      </c>
      <c r="J283" s="1" t="s">
        <v>23</v>
      </c>
      <c r="K283" s="1">
        <v>70303</v>
      </c>
      <c r="L283" s="1" t="s">
        <v>17</v>
      </c>
      <c r="M283" s="3" t="s">
        <v>55</v>
      </c>
      <c r="N283" s="1" t="str">
        <f>INDEX(Table3[#All], MATCH(Table13[[#This Row],[Dept_Id]], Table3[[#All],[Dept_Id]], 0), 1)</f>
        <v>Development</v>
      </c>
    </row>
    <row r="284" spans="1:14" x14ac:dyDescent="0.25">
      <c r="A284" s="2">
        <v>11980</v>
      </c>
      <c r="B284" s="1" t="s">
        <v>1017</v>
      </c>
      <c r="C284" s="1" t="s">
        <v>1018</v>
      </c>
      <c r="D284" s="1" t="s">
        <v>1019</v>
      </c>
      <c r="E284" s="1" t="s">
        <v>13</v>
      </c>
      <c r="F284" s="1" t="s">
        <v>1020</v>
      </c>
      <c r="G284" s="1">
        <v>10</v>
      </c>
      <c r="H284" s="1" t="s">
        <v>35</v>
      </c>
      <c r="I284" s="1">
        <v>0</v>
      </c>
      <c r="J284" s="1" t="s">
        <v>23</v>
      </c>
      <c r="K284" s="1">
        <v>58241</v>
      </c>
      <c r="L284" s="1" t="s">
        <v>40</v>
      </c>
      <c r="M284" s="3" t="s">
        <v>41</v>
      </c>
      <c r="N284" s="1" t="str">
        <f>INDEX(Table3[#All], MATCH(Table13[[#This Row],[Dept_Id]], Table3[[#All],[Dept_Id]], 0), 1)</f>
        <v>Sales</v>
      </c>
    </row>
    <row r="285" spans="1:14" x14ac:dyDescent="0.25">
      <c r="A285" s="2">
        <v>10170</v>
      </c>
      <c r="B285" s="1" t="s">
        <v>1021</v>
      </c>
      <c r="C285" s="1" t="s">
        <v>1022</v>
      </c>
      <c r="D285" s="1" t="s">
        <v>1023</v>
      </c>
      <c r="E285" s="1" t="s">
        <v>33</v>
      </c>
      <c r="F285" s="1" t="s">
        <v>1024</v>
      </c>
      <c r="G285" s="1">
        <v>6</v>
      </c>
      <c r="H285" s="1" t="s">
        <v>15</v>
      </c>
      <c r="I285" s="1">
        <v>0</v>
      </c>
      <c r="J285" s="1" t="s">
        <v>23</v>
      </c>
      <c r="K285" s="1">
        <v>47183</v>
      </c>
      <c r="L285" s="1" t="s">
        <v>24</v>
      </c>
      <c r="M285" s="3" t="s">
        <v>55</v>
      </c>
      <c r="N285" s="1" t="str">
        <f>INDEX(Table3[#All], MATCH(Table13[[#This Row],[Dept_Id]], Table3[[#All],[Dept_Id]], 0), 1)</f>
        <v>Production</v>
      </c>
    </row>
    <row r="286" spans="1:14" x14ac:dyDescent="0.25">
      <c r="A286" s="2">
        <v>10171</v>
      </c>
      <c r="B286" s="1" t="s">
        <v>1025</v>
      </c>
      <c r="C286" s="1" t="s">
        <v>1026</v>
      </c>
      <c r="D286" s="1" t="s">
        <v>1007</v>
      </c>
      <c r="E286" s="1" t="s">
        <v>13</v>
      </c>
      <c r="F286" s="1" t="s">
        <v>1027</v>
      </c>
      <c r="G286" s="1">
        <v>2</v>
      </c>
      <c r="H286" s="1" t="s">
        <v>35</v>
      </c>
      <c r="I286" s="1">
        <v>0</v>
      </c>
      <c r="J286" s="1" t="s">
        <v>23</v>
      </c>
      <c r="K286" s="1">
        <v>41311</v>
      </c>
      <c r="L286" s="1" t="s">
        <v>24</v>
      </c>
      <c r="M286" s="3" t="s">
        <v>156</v>
      </c>
      <c r="N286" s="1" t="str">
        <f>INDEX(Table3[#All], MATCH(Table13[[#This Row],[Dept_Id]], Table3[[#All],[Dept_Id]], 0), 1)</f>
        <v>Production</v>
      </c>
    </row>
    <row r="287" spans="1:14" x14ac:dyDescent="0.25">
      <c r="A287" s="2">
        <v>270258</v>
      </c>
      <c r="B287" s="1" t="s">
        <v>1028</v>
      </c>
      <c r="C287" s="1" t="s">
        <v>1029</v>
      </c>
      <c r="D287" s="1" t="s">
        <v>1030</v>
      </c>
      <c r="E287" s="1" t="s">
        <v>13</v>
      </c>
      <c r="F287" s="1" t="s">
        <v>1031</v>
      </c>
      <c r="G287" s="1">
        <v>4</v>
      </c>
      <c r="H287" s="1" t="s">
        <v>35</v>
      </c>
      <c r="I287" s="1">
        <v>0</v>
      </c>
      <c r="J287" s="1" t="s">
        <v>23</v>
      </c>
      <c r="K287" s="1">
        <v>40000</v>
      </c>
      <c r="L287" s="1" t="s">
        <v>24</v>
      </c>
      <c r="M287" s="3" t="s">
        <v>18</v>
      </c>
      <c r="N287" s="1" t="str">
        <f>INDEX(Table3[#All], MATCH(Table13[[#This Row],[Dept_Id]], Table3[[#All],[Dept_Id]], 0), 1)</f>
        <v>Production</v>
      </c>
    </row>
    <row r="288" spans="1:14" x14ac:dyDescent="0.25">
      <c r="A288" s="2">
        <v>10172</v>
      </c>
      <c r="B288" s="1" t="s">
        <v>1032</v>
      </c>
      <c r="C288" s="1" t="s">
        <v>512</v>
      </c>
      <c r="D288" s="1" t="s">
        <v>1033</v>
      </c>
      <c r="E288" s="1" t="s">
        <v>33</v>
      </c>
      <c r="F288" s="1" t="s">
        <v>1034</v>
      </c>
      <c r="G288" s="1">
        <v>9</v>
      </c>
      <c r="H288" s="1" t="s">
        <v>15</v>
      </c>
      <c r="I288" s="1">
        <v>0</v>
      </c>
      <c r="J288" s="1" t="s">
        <v>23</v>
      </c>
      <c r="K288" s="1">
        <v>41197</v>
      </c>
      <c r="L288" s="1" t="s">
        <v>17</v>
      </c>
      <c r="M288" s="3" t="s">
        <v>55</v>
      </c>
      <c r="N288" s="1" t="str">
        <f>INDEX(Table3[#All], MATCH(Table13[[#This Row],[Dept_Id]], Table3[[#All],[Dept_Id]], 0), 1)</f>
        <v>Development</v>
      </c>
    </row>
    <row r="289" spans="1:14" x14ac:dyDescent="0.25">
      <c r="A289" s="2">
        <v>10172</v>
      </c>
      <c r="B289" s="1" t="s">
        <v>1032</v>
      </c>
      <c r="C289" s="1" t="s">
        <v>512</v>
      </c>
      <c r="D289" s="1" t="s">
        <v>1033</v>
      </c>
      <c r="E289" s="1" t="s">
        <v>33</v>
      </c>
      <c r="F289" s="1" t="s">
        <v>1034</v>
      </c>
      <c r="G289" s="1">
        <v>9</v>
      </c>
      <c r="H289" s="1" t="s">
        <v>15</v>
      </c>
      <c r="I289" s="1">
        <v>0</v>
      </c>
      <c r="J289" s="1" t="s">
        <v>23</v>
      </c>
      <c r="K289" s="1">
        <v>41197</v>
      </c>
      <c r="L289" s="1" t="s">
        <v>61</v>
      </c>
      <c r="M289" s="3" t="s">
        <v>55</v>
      </c>
      <c r="N289" s="1" t="str">
        <f>INDEX(Table3[#All], MATCH(Table13[[#This Row],[Dept_Id]], Table3[[#All],[Dept_Id]], 0), 1)</f>
        <v>Research</v>
      </c>
    </row>
    <row r="290" spans="1:14" x14ac:dyDescent="0.25">
      <c r="A290" s="2">
        <v>10173</v>
      </c>
      <c r="B290" s="1" t="s">
        <v>1035</v>
      </c>
      <c r="C290" s="1" t="s">
        <v>1036</v>
      </c>
      <c r="D290" s="1" t="s">
        <v>1037</v>
      </c>
      <c r="E290" s="1" t="s">
        <v>13</v>
      </c>
      <c r="F290" s="1" t="s">
        <v>54</v>
      </c>
      <c r="G290" s="1">
        <v>8</v>
      </c>
      <c r="H290" s="1" t="s">
        <v>138</v>
      </c>
      <c r="I290" s="1">
        <v>0</v>
      </c>
      <c r="J290" s="1" t="s">
        <v>23</v>
      </c>
      <c r="K290" s="1">
        <v>85757</v>
      </c>
      <c r="L290" s="1" t="s">
        <v>108</v>
      </c>
      <c r="M290" s="3" t="s">
        <v>41</v>
      </c>
      <c r="N290" s="1" t="str">
        <f>INDEX(Table3[#All], MATCH(Table13[[#This Row],[Dept_Id]], Table3[[#All],[Dept_Id]], 0), 1)</f>
        <v>Finance</v>
      </c>
    </row>
    <row r="291" spans="1:14" x14ac:dyDescent="0.25">
      <c r="A291" s="2">
        <v>10174</v>
      </c>
      <c r="B291" s="1" t="s">
        <v>1038</v>
      </c>
      <c r="C291" s="1" t="s">
        <v>1039</v>
      </c>
      <c r="D291" s="1" t="s">
        <v>1040</v>
      </c>
      <c r="E291" s="1" t="s">
        <v>13</v>
      </c>
      <c r="F291" s="1" t="s">
        <v>1041</v>
      </c>
      <c r="G291" s="1">
        <v>6</v>
      </c>
      <c r="H291" s="1" t="s">
        <v>35</v>
      </c>
      <c r="I291" s="1">
        <v>0</v>
      </c>
      <c r="J291" s="1" t="s">
        <v>23</v>
      </c>
      <c r="K291" s="1">
        <v>59520</v>
      </c>
      <c r="L291" s="1" t="s">
        <v>24</v>
      </c>
      <c r="M291" s="3" t="s">
        <v>18</v>
      </c>
      <c r="N291" s="1" t="str">
        <f>INDEX(Table3[#All], MATCH(Table13[[#This Row],[Dept_Id]], Table3[[#All],[Dept_Id]], 0), 1)</f>
        <v>Production</v>
      </c>
    </row>
    <row r="292" spans="1:14" x14ac:dyDescent="0.25">
      <c r="A292" s="2">
        <v>457800</v>
      </c>
      <c r="B292" s="1" t="s">
        <v>1042</v>
      </c>
      <c r="C292" s="1" t="s">
        <v>1043</v>
      </c>
      <c r="D292" s="1" t="s">
        <v>1044</v>
      </c>
      <c r="E292" s="1" t="s">
        <v>13</v>
      </c>
      <c r="F292" s="1" t="s">
        <v>765</v>
      </c>
      <c r="G292" s="1">
        <v>8</v>
      </c>
      <c r="H292" s="1" t="s">
        <v>35</v>
      </c>
      <c r="I292" s="1">
        <v>0</v>
      </c>
      <c r="J292" s="1" t="s">
        <v>23</v>
      </c>
      <c r="K292" s="1">
        <v>64014</v>
      </c>
      <c r="L292" s="1" t="s">
        <v>108</v>
      </c>
      <c r="M292" s="3" t="s">
        <v>41</v>
      </c>
      <c r="N292" s="1" t="str">
        <f>INDEX(Table3[#All], MATCH(Table13[[#This Row],[Dept_Id]], Table3[[#All],[Dept_Id]], 0), 1)</f>
        <v>Finance</v>
      </c>
    </row>
    <row r="293" spans="1:14" x14ac:dyDescent="0.25">
      <c r="A293" s="2">
        <v>457800</v>
      </c>
      <c r="B293" s="1" t="s">
        <v>1042</v>
      </c>
      <c r="C293" s="1" t="s">
        <v>1043</v>
      </c>
      <c r="D293" s="1" t="s">
        <v>1044</v>
      </c>
      <c r="E293" s="1" t="s">
        <v>13</v>
      </c>
      <c r="F293" s="1" t="s">
        <v>765</v>
      </c>
      <c r="G293" s="1">
        <v>8</v>
      </c>
      <c r="H293" s="1" t="s">
        <v>35</v>
      </c>
      <c r="I293" s="1">
        <v>0</v>
      </c>
      <c r="J293" s="1" t="s">
        <v>23</v>
      </c>
      <c r="K293" s="1">
        <v>64014</v>
      </c>
      <c r="L293" s="1" t="s">
        <v>40</v>
      </c>
      <c r="M293" s="3" t="s">
        <v>41</v>
      </c>
      <c r="N293" s="1" t="str">
        <f>INDEX(Table3[#All], MATCH(Table13[[#This Row],[Dept_Id]], Table3[[#All],[Dept_Id]], 0), 1)</f>
        <v>Sales</v>
      </c>
    </row>
    <row r="294" spans="1:14" x14ac:dyDescent="0.25">
      <c r="A294" s="2">
        <v>10175</v>
      </c>
      <c r="B294" s="1" t="s">
        <v>1045</v>
      </c>
      <c r="C294" s="1" t="s">
        <v>1046</v>
      </c>
      <c r="D294" s="1" t="s">
        <v>1047</v>
      </c>
      <c r="E294" s="1" t="s">
        <v>33</v>
      </c>
      <c r="F294" s="1" t="s">
        <v>1048</v>
      </c>
      <c r="G294" s="1">
        <v>7</v>
      </c>
      <c r="H294" s="1" t="s">
        <v>29</v>
      </c>
      <c r="I294" s="1">
        <v>0</v>
      </c>
      <c r="J294" s="1" t="s">
        <v>23</v>
      </c>
      <c r="K294" s="1">
        <v>72285</v>
      </c>
      <c r="L294" s="1" t="s">
        <v>125</v>
      </c>
      <c r="M294" s="3" t="s">
        <v>41</v>
      </c>
      <c r="N294" s="1" t="str">
        <f>INDEX(Table3[#All], MATCH(Table13[[#This Row],[Dept_Id]], Table3[[#All],[Dept_Id]], 0), 1)</f>
        <v>Marketing</v>
      </c>
    </row>
    <row r="295" spans="1:14" x14ac:dyDescent="0.25">
      <c r="A295" s="2">
        <v>10176</v>
      </c>
      <c r="B295" s="1" t="s">
        <v>1049</v>
      </c>
      <c r="C295" s="1" t="s">
        <v>363</v>
      </c>
      <c r="D295" s="1" t="s">
        <v>273</v>
      </c>
      <c r="E295" s="1" t="s">
        <v>33</v>
      </c>
      <c r="F295" s="1" t="s">
        <v>1050</v>
      </c>
      <c r="G295" s="1">
        <v>4</v>
      </c>
      <c r="H295" s="1" t="s">
        <v>35</v>
      </c>
      <c r="I295" s="1">
        <v>0</v>
      </c>
      <c r="J295" s="1" t="s">
        <v>23</v>
      </c>
      <c r="K295" s="1">
        <v>54635</v>
      </c>
      <c r="L295" s="1" t="s">
        <v>89</v>
      </c>
      <c r="M295" s="3" t="s">
        <v>41</v>
      </c>
      <c r="N295" s="1" t="str">
        <f>INDEX(Table3[#All], MATCH(Table13[[#This Row],[Dept_Id]], Table3[[#All],[Dept_Id]], 0), 1)</f>
        <v>Customer Service</v>
      </c>
    </row>
    <row r="296" spans="1:14" x14ac:dyDescent="0.25">
      <c r="A296" s="2">
        <v>446142</v>
      </c>
      <c r="B296" s="1" t="s">
        <v>1051</v>
      </c>
      <c r="C296" s="1" t="s">
        <v>1052</v>
      </c>
      <c r="D296" s="1" t="s">
        <v>1053</v>
      </c>
      <c r="E296" s="1" t="s">
        <v>33</v>
      </c>
      <c r="F296" s="1" t="s">
        <v>1054</v>
      </c>
      <c r="G296" s="1">
        <v>6</v>
      </c>
      <c r="H296" s="1" t="s">
        <v>29</v>
      </c>
      <c r="I296" s="1">
        <v>0</v>
      </c>
      <c r="J296" s="1" t="s">
        <v>23</v>
      </c>
      <c r="K296" s="1">
        <v>40000</v>
      </c>
      <c r="L296" s="1" t="s">
        <v>71</v>
      </c>
      <c r="M296" s="3" t="s">
        <v>18</v>
      </c>
      <c r="N296" s="1" t="str">
        <f>INDEX(Table3[#All], MATCH(Table13[[#This Row],[Dept_Id]], Table3[[#All],[Dept_Id]], 0), 1)</f>
        <v>Quality Management</v>
      </c>
    </row>
    <row r="297" spans="1:14" x14ac:dyDescent="0.25">
      <c r="A297" s="2">
        <v>10177</v>
      </c>
      <c r="B297" s="1" t="s">
        <v>1055</v>
      </c>
      <c r="C297" s="1" t="s">
        <v>1056</v>
      </c>
      <c r="D297" s="1" t="s">
        <v>1057</v>
      </c>
      <c r="E297" s="1" t="s">
        <v>13</v>
      </c>
      <c r="F297" s="1" t="s">
        <v>1058</v>
      </c>
      <c r="G297" s="1">
        <v>10</v>
      </c>
      <c r="H297" s="1" t="s">
        <v>138</v>
      </c>
      <c r="I297" s="1">
        <v>0</v>
      </c>
      <c r="J297" s="1" t="s">
        <v>23</v>
      </c>
      <c r="K297" s="1">
        <v>48041</v>
      </c>
      <c r="L297" s="1" t="s">
        <v>108</v>
      </c>
      <c r="M297" s="3" t="s">
        <v>41</v>
      </c>
      <c r="N297" s="1" t="str">
        <f>INDEX(Table3[#All], MATCH(Table13[[#This Row],[Dept_Id]], Table3[[#All],[Dept_Id]], 0), 1)</f>
        <v>Finance</v>
      </c>
    </row>
    <row r="298" spans="1:14" x14ac:dyDescent="0.25">
      <c r="A298" s="2">
        <v>10178</v>
      </c>
      <c r="B298" s="1" t="s">
        <v>1059</v>
      </c>
      <c r="C298" s="1" t="s">
        <v>1060</v>
      </c>
      <c r="D298" s="1" t="s">
        <v>1061</v>
      </c>
      <c r="E298" s="1" t="s">
        <v>13</v>
      </c>
      <c r="F298" s="1" t="s">
        <v>1062</v>
      </c>
      <c r="G298" s="1">
        <v>9</v>
      </c>
      <c r="H298" s="1" t="s">
        <v>15</v>
      </c>
      <c r="I298" s="1">
        <v>0</v>
      </c>
      <c r="J298" s="1" t="s">
        <v>23</v>
      </c>
      <c r="K298" s="1">
        <v>50568</v>
      </c>
      <c r="L298" s="1" t="s">
        <v>40</v>
      </c>
      <c r="M298" s="3" t="s">
        <v>41</v>
      </c>
      <c r="N298" s="1" t="str">
        <f>INDEX(Table3[#All], MATCH(Table13[[#This Row],[Dept_Id]], Table3[[#All],[Dept_Id]], 0), 1)</f>
        <v>Sales</v>
      </c>
    </row>
    <row r="299" spans="1:14" x14ac:dyDescent="0.25">
      <c r="A299" s="2">
        <v>201769</v>
      </c>
      <c r="B299" s="1" t="s">
        <v>1063</v>
      </c>
      <c r="C299" s="1" t="s">
        <v>1064</v>
      </c>
      <c r="D299" s="1" t="s">
        <v>1065</v>
      </c>
      <c r="E299" s="1" t="s">
        <v>13</v>
      </c>
      <c r="F299" s="1" t="s">
        <v>1066</v>
      </c>
      <c r="G299" s="1">
        <v>10</v>
      </c>
      <c r="H299" s="1" t="s">
        <v>29</v>
      </c>
      <c r="I299" s="1">
        <v>0</v>
      </c>
      <c r="J299" s="1" t="s">
        <v>23</v>
      </c>
      <c r="K299" s="1">
        <v>48427</v>
      </c>
      <c r="L299" s="1" t="s">
        <v>24</v>
      </c>
      <c r="M299" s="3" t="s">
        <v>156</v>
      </c>
      <c r="N299" s="1" t="str">
        <f>INDEX(Table3[#All], MATCH(Table13[[#This Row],[Dept_Id]], Table3[[#All],[Dept_Id]], 0), 1)</f>
        <v>Production</v>
      </c>
    </row>
    <row r="300" spans="1:14" x14ac:dyDescent="0.25">
      <c r="A300" s="2">
        <v>10179</v>
      </c>
      <c r="B300" s="1" t="s">
        <v>1067</v>
      </c>
      <c r="C300" s="1" t="s">
        <v>1068</v>
      </c>
      <c r="D300" s="1" t="s">
        <v>1069</v>
      </c>
      <c r="E300" s="1" t="s">
        <v>33</v>
      </c>
      <c r="F300" s="1" t="s">
        <v>1070</v>
      </c>
      <c r="G300" s="1">
        <v>5</v>
      </c>
      <c r="H300" s="1" t="s">
        <v>35</v>
      </c>
      <c r="I300" s="1">
        <v>0</v>
      </c>
      <c r="J300" s="1" t="s">
        <v>23</v>
      </c>
      <c r="K300" s="1">
        <v>40000</v>
      </c>
      <c r="L300" s="1" t="s">
        <v>17</v>
      </c>
      <c r="M300" s="3" t="s">
        <v>55</v>
      </c>
      <c r="N300" s="1" t="str">
        <f>INDEX(Table3[#All], MATCH(Table13[[#This Row],[Dept_Id]], Table3[[#All],[Dept_Id]], 0), 1)</f>
        <v>Development</v>
      </c>
    </row>
    <row r="301" spans="1:14" x14ac:dyDescent="0.25">
      <c r="A301" s="2">
        <v>10180</v>
      </c>
      <c r="B301" s="1" t="s">
        <v>1071</v>
      </c>
      <c r="C301" s="1" t="s">
        <v>1072</v>
      </c>
      <c r="D301" s="1" t="s">
        <v>1073</v>
      </c>
      <c r="E301" s="1" t="s">
        <v>13</v>
      </c>
      <c r="F301" s="1" t="s">
        <v>1074</v>
      </c>
      <c r="G301" s="1">
        <v>10</v>
      </c>
      <c r="H301" s="1" t="s">
        <v>29</v>
      </c>
      <c r="I301" s="1">
        <v>0</v>
      </c>
      <c r="J301" s="1" t="s">
        <v>23</v>
      </c>
      <c r="K301" s="1">
        <v>52444</v>
      </c>
      <c r="L301" s="1" t="s">
        <v>108</v>
      </c>
      <c r="M301" s="3" t="s">
        <v>41</v>
      </c>
      <c r="N301" s="1" t="str">
        <f>INDEX(Table3[#All], MATCH(Table13[[#This Row],[Dept_Id]], Table3[[#All],[Dept_Id]], 0), 1)</f>
        <v>Finance</v>
      </c>
    </row>
    <row r="302" spans="1:14" x14ac:dyDescent="0.25">
      <c r="A302" s="2">
        <v>56049</v>
      </c>
      <c r="B302" s="1" t="s">
        <v>1075</v>
      </c>
      <c r="C302" s="1" t="s">
        <v>1076</v>
      </c>
      <c r="D302" s="1" t="s">
        <v>1077</v>
      </c>
      <c r="E302" s="1" t="s">
        <v>33</v>
      </c>
      <c r="F302" s="1" t="s">
        <v>1078</v>
      </c>
      <c r="G302" s="1">
        <v>5</v>
      </c>
      <c r="H302" s="1" t="s">
        <v>35</v>
      </c>
      <c r="I302" s="1">
        <v>0</v>
      </c>
      <c r="J302" s="1" t="s">
        <v>23</v>
      </c>
      <c r="K302" s="1">
        <v>76782</v>
      </c>
      <c r="L302" s="1" t="s">
        <v>125</v>
      </c>
      <c r="M302" s="3" t="s">
        <v>41</v>
      </c>
      <c r="N302" s="1" t="str">
        <f>INDEX(Table3[#All], MATCH(Table13[[#This Row],[Dept_Id]], Table3[[#All],[Dept_Id]], 0), 1)</f>
        <v>Marketing</v>
      </c>
    </row>
    <row r="303" spans="1:14" x14ac:dyDescent="0.25">
      <c r="A303" s="2">
        <v>56049</v>
      </c>
      <c r="B303" s="1" t="s">
        <v>1075</v>
      </c>
      <c r="C303" s="1" t="s">
        <v>1076</v>
      </c>
      <c r="D303" s="1" t="s">
        <v>1077</v>
      </c>
      <c r="E303" s="1" t="s">
        <v>33</v>
      </c>
      <c r="F303" s="1" t="s">
        <v>1078</v>
      </c>
      <c r="G303" s="1">
        <v>5</v>
      </c>
      <c r="H303" s="1" t="s">
        <v>35</v>
      </c>
      <c r="I303" s="1">
        <v>0</v>
      </c>
      <c r="J303" s="1" t="s">
        <v>23</v>
      </c>
      <c r="K303" s="1">
        <v>76782</v>
      </c>
      <c r="L303" s="1" t="s">
        <v>89</v>
      </c>
      <c r="M303" s="3" t="s">
        <v>41</v>
      </c>
      <c r="N303" s="1" t="str">
        <f>INDEX(Table3[#All], MATCH(Table13[[#This Row],[Dept_Id]], Table3[[#All],[Dept_Id]], 0), 1)</f>
        <v>Customer Service</v>
      </c>
    </row>
    <row r="304" spans="1:14" x14ac:dyDescent="0.25">
      <c r="A304" s="2">
        <v>10181</v>
      </c>
      <c r="B304" s="1" t="s">
        <v>1079</v>
      </c>
      <c r="C304" s="1" t="s">
        <v>1080</v>
      </c>
      <c r="D304" s="1" t="s">
        <v>115</v>
      </c>
      <c r="E304" s="1" t="s">
        <v>13</v>
      </c>
      <c r="F304" s="1" t="s">
        <v>1081</v>
      </c>
      <c r="G304" s="1">
        <v>7</v>
      </c>
      <c r="H304" s="1" t="s">
        <v>35</v>
      </c>
      <c r="I304" s="1">
        <v>0</v>
      </c>
      <c r="J304" s="1" t="s">
        <v>23</v>
      </c>
      <c r="K304" s="1">
        <v>40000</v>
      </c>
      <c r="L304" s="1" t="s">
        <v>17</v>
      </c>
      <c r="M304" s="3" t="s">
        <v>18</v>
      </c>
      <c r="N304" s="1" t="str">
        <f>INDEX(Table3[#All], MATCH(Table13[[#This Row],[Dept_Id]], Table3[[#All],[Dept_Id]], 0), 1)</f>
        <v>Development</v>
      </c>
    </row>
    <row r="305" spans="1:14" x14ac:dyDescent="0.25">
      <c r="A305" s="2">
        <v>10182</v>
      </c>
      <c r="B305" s="1" t="s">
        <v>1082</v>
      </c>
      <c r="C305" s="1" t="s">
        <v>1083</v>
      </c>
      <c r="D305" s="1" t="s">
        <v>1084</v>
      </c>
      <c r="E305" s="1" t="s">
        <v>33</v>
      </c>
      <c r="F305" s="1" t="s">
        <v>1085</v>
      </c>
      <c r="G305" s="1">
        <v>5</v>
      </c>
      <c r="H305" s="1" t="s">
        <v>138</v>
      </c>
      <c r="I305" s="1">
        <v>0</v>
      </c>
      <c r="J305" s="1" t="s">
        <v>23</v>
      </c>
      <c r="K305" s="1">
        <v>40380</v>
      </c>
      <c r="L305" s="1" t="s">
        <v>17</v>
      </c>
      <c r="M305" s="3" t="s">
        <v>18</v>
      </c>
      <c r="N305" s="1" t="str">
        <f>INDEX(Table3[#All], MATCH(Table13[[#This Row],[Dept_Id]], Table3[[#All],[Dept_Id]], 0), 1)</f>
        <v>Development</v>
      </c>
    </row>
    <row r="306" spans="1:14" x14ac:dyDescent="0.25">
      <c r="A306" s="2">
        <v>10182</v>
      </c>
      <c r="B306" s="1" t="s">
        <v>1082</v>
      </c>
      <c r="C306" s="1" t="s">
        <v>1083</v>
      </c>
      <c r="D306" s="1" t="s">
        <v>1084</v>
      </c>
      <c r="E306" s="1" t="s">
        <v>33</v>
      </c>
      <c r="F306" s="1" t="s">
        <v>1085</v>
      </c>
      <c r="G306" s="1">
        <v>5</v>
      </c>
      <c r="H306" s="1" t="s">
        <v>138</v>
      </c>
      <c r="I306" s="1">
        <v>0</v>
      </c>
      <c r="J306" s="1" t="s">
        <v>23</v>
      </c>
      <c r="K306" s="1">
        <v>40380</v>
      </c>
      <c r="L306" s="1" t="s">
        <v>61</v>
      </c>
      <c r="M306" s="3" t="s">
        <v>18</v>
      </c>
      <c r="N306" s="1" t="str">
        <f>INDEX(Table3[#All], MATCH(Table13[[#This Row],[Dept_Id]], Table3[[#All],[Dept_Id]], 0), 1)</f>
        <v>Research</v>
      </c>
    </row>
    <row r="307" spans="1:14" x14ac:dyDescent="0.25">
      <c r="A307" s="2">
        <v>414537</v>
      </c>
      <c r="B307" s="1" t="s">
        <v>1086</v>
      </c>
      <c r="C307" s="1" t="s">
        <v>708</v>
      </c>
      <c r="D307" s="1" t="s">
        <v>1087</v>
      </c>
      <c r="E307" s="1" t="s">
        <v>13</v>
      </c>
      <c r="F307" s="1" t="s">
        <v>1088</v>
      </c>
      <c r="G307" s="1">
        <v>10</v>
      </c>
      <c r="H307" s="1" t="s">
        <v>35</v>
      </c>
      <c r="I307" s="1">
        <v>0</v>
      </c>
      <c r="J307" s="1" t="s">
        <v>23</v>
      </c>
      <c r="K307" s="1">
        <v>78474</v>
      </c>
      <c r="L307" s="1" t="s">
        <v>40</v>
      </c>
      <c r="M307" s="3" t="s">
        <v>41</v>
      </c>
      <c r="N307" s="1" t="str">
        <f>INDEX(Table3[#All], MATCH(Table13[[#This Row],[Dept_Id]], Table3[[#All],[Dept_Id]], 0), 1)</f>
        <v>Sales</v>
      </c>
    </row>
    <row r="308" spans="1:14" x14ac:dyDescent="0.25">
      <c r="A308" s="2">
        <v>10183</v>
      </c>
      <c r="B308" s="1" t="s">
        <v>1089</v>
      </c>
      <c r="C308" s="1" t="s">
        <v>491</v>
      </c>
      <c r="D308" s="1" t="s">
        <v>1090</v>
      </c>
      <c r="E308" s="1" t="s">
        <v>13</v>
      </c>
      <c r="F308" s="1" t="s">
        <v>1091</v>
      </c>
      <c r="G308" s="1">
        <v>1</v>
      </c>
      <c r="H308" s="1" t="s">
        <v>15</v>
      </c>
      <c r="I308" s="1">
        <v>0</v>
      </c>
      <c r="J308" s="1" t="s">
        <v>23</v>
      </c>
      <c r="K308" s="1">
        <v>40000</v>
      </c>
      <c r="L308" s="1" t="s">
        <v>89</v>
      </c>
      <c r="M308" s="3" t="s">
        <v>41</v>
      </c>
      <c r="N308" s="1" t="str">
        <f>INDEX(Table3[#All], MATCH(Table13[[#This Row],[Dept_Id]], Table3[[#All],[Dept_Id]], 0), 1)</f>
        <v>Customer Service</v>
      </c>
    </row>
    <row r="309" spans="1:14" x14ac:dyDescent="0.25">
      <c r="A309" s="2">
        <v>414885</v>
      </c>
      <c r="B309" s="1" t="s">
        <v>1092</v>
      </c>
      <c r="C309" s="1" t="s">
        <v>1093</v>
      </c>
      <c r="D309" s="1" t="s">
        <v>349</v>
      </c>
      <c r="E309" s="1" t="s">
        <v>13</v>
      </c>
      <c r="F309" s="1" t="s">
        <v>1094</v>
      </c>
      <c r="G309" s="1">
        <v>7</v>
      </c>
      <c r="H309" s="1" t="s">
        <v>29</v>
      </c>
      <c r="I309" s="1">
        <v>0</v>
      </c>
      <c r="J309" s="1" t="s">
        <v>23</v>
      </c>
      <c r="K309" s="1">
        <v>81272</v>
      </c>
      <c r="L309" s="1" t="s">
        <v>40</v>
      </c>
      <c r="M309" s="3" t="s">
        <v>41</v>
      </c>
      <c r="N309" s="1" t="str">
        <f>INDEX(Table3[#All], MATCH(Table13[[#This Row],[Dept_Id]], Table3[[#All],[Dept_Id]], 0), 1)</f>
        <v>Sales</v>
      </c>
    </row>
    <row r="310" spans="1:14" x14ac:dyDescent="0.25">
      <c r="A310" s="2">
        <v>10184</v>
      </c>
      <c r="B310" s="1" t="s">
        <v>1095</v>
      </c>
      <c r="C310" s="1" t="s">
        <v>1096</v>
      </c>
      <c r="D310" s="1" t="s">
        <v>1097</v>
      </c>
      <c r="E310" s="1" t="s">
        <v>13</v>
      </c>
      <c r="F310" s="1" t="s">
        <v>294</v>
      </c>
      <c r="G310" s="1">
        <v>10</v>
      </c>
      <c r="H310" s="1" t="s">
        <v>35</v>
      </c>
      <c r="I310" s="1">
        <v>0</v>
      </c>
      <c r="J310" s="1" t="s">
        <v>23</v>
      </c>
      <c r="K310" s="1">
        <v>48586</v>
      </c>
      <c r="L310" s="1" t="s">
        <v>89</v>
      </c>
      <c r="M310" s="3" t="s">
        <v>41</v>
      </c>
      <c r="N310" s="1" t="str">
        <f>INDEX(Table3[#All], MATCH(Table13[[#This Row],[Dept_Id]], Table3[[#All],[Dept_Id]], 0), 1)</f>
        <v>Customer Service</v>
      </c>
    </row>
    <row r="311" spans="1:14" x14ac:dyDescent="0.25">
      <c r="A311" s="2">
        <v>10185</v>
      </c>
      <c r="B311" s="1" t="s">
        <v>1098</v>
      </c>
      <c r="C311" s="1" t="s">
        <v>1099</v>
      </c>
      <c r="D311" s="1" t="s">
        <v>1100</v>
      </c>
      <c r="E311" s="1" t="s">
        <v>33</v>
      </c>
      <c r="F311" s="1" t="s">
        <v>1101</v>
      </c>
      <c r="G311" s="1">
        <v>10</v>
      </c>
      <c r="H311" s="1" t="s">
        <v>15</v>
      </c>
      <c r="I311" s="1">
        <v>0</v>
      </c>
      <c r="J311" s="1" t="s">
        <v>23</v>
      </c>
      <c r="K311" s="1">
        <v>68334</v>
      </c>
      <c r="L311" s="1" t="s">
        <v>40</v>
      </c>
      <c r="M311" s="3" t="s">
        <v>41</v>
      </c>
      <c r="N311" s="1" t="str">
        <f>INDEX(Table3[#All], MATCH(Table13[[#This Row],[Dept_Id]], Table3[[#All],[Dept_Id]], 0), 1)</f>
        <v>Sales</v>
      </c>
    </row>
    <row r="312" spans="1:14" x14ac:dyDescent="0.25">
      <c r="A312" s="2">
        <v>10186</v>
      </c>
      <c r="B312" s="1" t="s">
        <v>1102</v>
      </c>
      <c r="C312" s="1" t="s">
        <v>1103</v>
      </c>
      <c r="D312" s="1" t="s">
        <v>1104</v>
      </c>
      <c r="E312" s="1" t="s">
        <v>13</v>
      </c>
      <c r="F312" s="1" t="s">
        <v>1105</v>
      </c>
      <c r="G312" s="1">
        <v>9</v>
      </c>
      <c r="H312" s="1" t="s">
        <v>29</v>
      </c>
      <c r="I312" s="1">
        <v>0</v>
      </c>
      <c r="J312" s="1" t="s">
        <v>23</v>
      </c>
      <c r="K312" s="1">
        <v>40000</v>
      </c>
      <c r="L312" s="1" t="s">
        <v>108</v>
      </c>
      <c r="M312" s="3" t="s">
        <v>41</v>
      </c>
      <c r="N312" s="1" t="str">
        <f>INDEX(Table3[#All], MATCH(Table13[[#This Row],[Dept_Id]], Table3[[#All],[Dept_Id]], 0), 1)</f>
        <v>Finance</v>
      </c>
    </row>
    <row r="313" spans="1:14" x14ac:dyDescent="0.25">
      <c r="A313" s="2">
        <v>10187</v>
      </c>
      <c r="B313" s="1" t="s">
        <v>1106</v>
      </c>
      <c r="C313" s="1" t="s">
        <v>1107</v>
      </c>
      <c r="D313" s="1" t="s">
        <v>1108</v>
      </c>
      <c r="E313" s="1" t="s">
        <v>33</v>
      </c>
      <c r="F313" s="1" t="s">
        <v>1109</v>
      </c>
      <c r="G313" s="1">
        <v>3</v>
      </c>
      <c r="H313" s="1" t="s">
        <v>138</v>
      </c>
      <c r="I313" s="1">
        <v>1</v>
      </c>
      <c r="J313" s="1" t="s">
        <v>1110</v>
      </c>
      <c r="K313" s="1">
        <v>71454</v>
      </c>
      <c r="L313" s="1" t="s">
        <v>108</v>
      </c>
      <c r="M313" s="3" t="s">
        <v>41</v>
      </c>
      <c r="N313" s="1" t="str">
        <f>INDEX(Table3[#All], MATCH(Table13[[#This Row],[Dept_Id]], Table3[[#All],[Dept_Id]], 0), 1)</f>
        <v>Finance</v>
      </c>
    </row>
    <row r="314" spans="1:14" x14ac:dyDescent="0.25">
      <c r="A314" s="2">
        <v>250218</v>
      </c>
      <c r="B314" s="1" t="s">
        <v>1111</v>
      </c>
      <c r="C314" s="1" t="s">
        <v>1112</v>
      </c>
      <c r="D314" s="1" t="s">
        <v>1113</v>
      </c>
      <c r="E314" s="1" t="s">
        <v>13</v>
      </c>
      <c r="F314" s="1" t="s">
        <v>1114</v>
      </c>
      <c r="G314" s="1">
        <v>8</v>
      </c>
      <c r="H314" s="1" t="s">
        <v>35</v>
      </c>
      <c r="I314" s="1">
        <v>0</v>
      </c>
      <c r="J314" s="1" t="s">
        <v>23</v>
      </c>
      <c r="K314" s="1">
        <v>41127</v>
      </c>
      <c r="L314" s="1" t="s">
        <v>17</v>
      </c>
      <c r="M314" s="3" t="s">
        <v>18</v>
      </c>
      <c r="N314" s="1" t="str">
        <f>INDEX(Table3[#All], MATCH(Table13[[#This Row],[Dept_Id]], Table3[[#All],[Dept_Id]], 0), 1)</f>
        <v>Development</v>
      </c>
    </row>
    <row r="315" spans="1:14" x14ac:dyDescent="0.25">
      <c r="A315" s="2">
        <v>250218</v>
      </c>
      <c r="B315" s="1" t="s">
        <v>1111</v>
      </c>
      <c r="C315" s="1" t="s">
        <v>1112</v>
      </c>
      <c r="D315" s="1" t="s">
        <v>1113</v>
      </c>
      <c r="E315" s="1" t="s">
        <v>13</v>
      </c>
      <c r="F315" s="1" t="s">
        <v>1114</v>
      </c>
      <c r="G315" s="1">
        <v>8</v>
      </c>
      <c r="H315" s="1" t="s">
        <v>35</v>
      </c>
      <c r="I315" s="1">
        <v>0</v>
      </c>
      <c r="J315" s="1" t="s">
        <v>23</v>
      </c>
      <c r="K315" s="1">
        <v>41127</v>
      </c>
      <c r="L315" s="1" t="s">
        <v>61</v>
      </c>
      <c r="M315" s="3" t="s">
        <v>18</v>
      </c>
      <c r="N315" s="1" t="str">
        <f>INDEX(Table3[#All], MATCH(Table13[[#This Row],[Dept_Id]], Table3[[#All],[Dept_Id]], 0), 1)</f>
        <v>Research</v>
      </c>
    </row>
    <row r="316" spans="1:14" x14ac:dyDescent="0.25">
      <c r="A316" s="2">
        <v>10188</v>
      </c>
      <c r="B316" s="1" t="s">
        <v>1115</v>
      </c>
      <c r="C316" s="1" t="s">
        <v>1116</v>
      </c>
      <c r="D316" s="1" t="s">
        <v>1117</v>
      </c>
      <c r="E316" s="1" t="s">
        <v>33</v>
      </c>
      <c r="F316" s="1" t="s">
        <v>1118</v>
      </c>
      <c r="G316" s="1">
        <v>5</v>
      </c>
      <c r="H316" s="1" t="s">
        <v>35</v>
      </c>
      <c r="I316" s="1">
        <v>0</v>
      </c>
      <c r="J316" s="1" t="s">
        <v>23</v>
      </c>
      <c r="K316" s="1">
        <v>62365</v>
      </c>
      <c r="L316" s="1" t="s">
        <v>24</v>
      </c>
      <c r="M316" s="3" t="s">
        <v>18</v>
      </c>
      <c r="N316" s="1" t="str">
        <f>INDEX(Table3[#All], MATCH(Table13[[#This Row],[Dept_Id]], Table3[[#All],[Dept_Id]], 0), 1)</f>
        <v>Production</v>
      </c>
    </row>
    <row r="317" spans="1:14" x14ac:dyDescent="0.25">
      <c r="A317" s="2">
        <v>10189</v>
      </c>
      <c r="B317" s="1" t="s">
        <v>1119</v>
      </c>
      <c r="C317" s="1" t="s">
        <v>1120</v>
      </c>
      <c r="D317" s="1" t="s">
        <v>1121</v>
      </c>
      <c r="E317" s="1" t="s">
        <v>13</v>
      </c>
      <c r="F317" s="1" t="s">
        <v>1122</v>
      </c>
      <c r="G317" s="1">
        <v>6</v>
      </c>
      <c r="H317" s="1" t="s">
        <v>15</v>
      </c>
      <c r="I317" s="1">
        <v>0</v>
      </c>
      <c r="J317" s="1" t="s">
        <v>23</v>
      </c>
      <c r="K317" s="1">
        <v>41222</v>
      </c>
      <c r="L317" s="1" t="s">
        <v>17</v>
      </c>
      <c r="M317" s="3" t="s">
        <v>55</v>
      </c>
      <c r="N317" s="1" t="str">
        <f>INDEX(Table3[#All], MATCH(Table13[[#This Row],[Dept_Id]], Table3[[#All],[Dept_Id]], 0), 1)</f>
        <v>Development</v>
      </c>
    </row>
    <row r="318" spans="1:14" x14ac:dyDescent="0.25">
      <c r="A318" s="2">
        <v>451340</v>
      </c>
      <c r="B318" s="1" t="s">
        <v>1123</v>
      </c>
      <c r="C318" s="1" t="s">
        <v>415</v>
      </c>
      <c r="D318" s="1" t="s">
        <v>727</v>
      </c>
      <c r="E318" s="1" t="s">
        <v>13</v>
      </c>
      <c r="F318" s="1" t="s">
        <v>1124</v>
      </c>
      <c r="G318" s="1">
        <v>1</v>
      </c>
      <c r="H318" s="1" t="s">
        <v>35</v>
      </c>
      <c r="I318" s="1">
        <v>0</v>
      </c>
      <c r="J318" s="1" t="s">
        <v>23</v>
      </c>
      <c r="K318" s="1">
        <v>40000</v>
      </c>
      <c r="L318" s="1" t="s">
        <v>46</v>
      </c>
      <c r="M318" s="3" t="s">
        <v>41</v>
      </c>
      <c r="N318" s="1" t="str">
        <f>INDEX(Table3[#All], MATCH(Table13[[#This Row],[Dept_Id]], Table3[[#All],[Dept_Id]], 0), 1)</f>
        <v>Human Resources</v>
      </c>
    </row>
    <row r="319" spans="1:14" x14ac:dyDescent="0.25">
      <c r="A319" s="2">
        <v>10190</v>
      </c>
      <c r="B319" s="1" t="s">
        <v>1125</v>
      </c>
      <c r="C319" s="1" t="s">
        <v>1126</v>
      </c>
      <c r="D319" s="1" t="s">
        <v>737</v>
      </c>
      <c r="E319" s="1" t="s">
        <v>33</v>
      </c>
      <c r="F319" s="1" t="s">
        <v>1127</v>
      </c>
      <c r="G319" s="1">
        <v>5</v>
      </c>
      <c r="H319" s="1" t="s">
        <v>35</v>
      </c>
      <c r="I319" s="1">
        <v>0</v>
      </c>
      <c r="J319" s="1" t="s">
        <v>23</v>
      </c>
      <c r="K319" s="1">
        <v>40000</v>
      </c>
      <c r="L319" s="1" t="s">
        <v>24</v>
      </c>
      <c r="M319" s="3" t="s">
        <v>18</v>
      </c>
      <c r="N319" s="1" t="str">
        <f>INDEX(Table3[#All], MATCH(Table13[[#This Row],[Dept_Id]], Table3[[#All],[Dept_Id]], 0), 1)</f>
        <v>Production</v>
      </c>
    </row>
    <row r="320" spans="1:14" x14ac:dyDescent="0.25">
      <c r="A320" s="2">
        <v>10191</v>
      </c>
      <c r="B320" s="1" t="s">
        <v>1128</v>
      </c>
      <c r="C320" s="1" t="s">
        <v>1129</v>
      </c>
      <c r="D320" s="1" t="s">
        <v>934</v>
      </c>
      <c r="E320" s="1" t="s">
        <v>13</v>
      </c>
      <c r="F320" s="1" t="s">
        <v>1130</v>
      </c>
      <c r="G320" s="1">
        <v>4</v>
      </c>
      <c r="H320" s="1" t="s">
        <v>35</v>
      </c>
      <c r="I320" s="1">
        <v>0</v>
      </c>
      <c r="J320" s="1" t="s">
        <v>23</v>
      </c>
      <c r="K320" s="1">
        <v>40000</v>
      </c>
      <c r="L320" s="1" t="s">
        <v>17</v>
      </c>
      <c r="M320" s="3" t="s">
        <v>18</v>
      </c>
      <c r="N320" s="1" t="str">
        <f>INDEX(Table3[#All], MATCH(Table13[[#This Row],[Dept_Id]], Table3[[#All],[Dept_Id]], 0), 1)</f>
        <v>Development</v>
      </c>
    </row>
    <row r="321" spans="1:14" x14ac:dyDescent="0.25">
      <c r="A321" s="2">
        <v>413842</v>
      </c>
      <c r="B321" s="1" t="s">
        <v>1131</v>
      </c>
      <c r="C321" s="1" t="s">
        <v>91</v>
      </c>
      <c r="D321" s="1" t="s">
        <v>1132</v>
      </c>
      <c r="E321" s="1" t="s">
        <v>33</v>
      </c>
      <c r="F321" s="1" t="s">
        <v>1133</v>
      </c>
      <c r="G321" s="1">
        <v>3</v>
      </c>
      <c r="H321" s="1" t="s">
        <v>15</v>
      </c>
      <c r="I321" s="1">
        <v>0</v>
      </c>
      <c r="J321" s="1" t="s">
        <v>23</v>
      </c>
      <c r="K321" s="1">
        <v>40000</v>
      </c>
      <c r="L321" s="1" t="s">
        <v>24</v>
      </c>
      <c r="M321" s="3" t="s">
        <v>18</v>
      </c>
      <c r="N321" s="1" t="str">
        <f>INDEX(Table3[#All], MATCH(Table13[[#This Row],[Dept_Id]], Table3[[#All],[Dept_Id]], 0), 1)</f>
        <v>Production</v>
      </c>
    </row>
    <row r="322" spans="1:14" x14ac:dyDescent="0.25">
      <c r="A322" s="2">
        <v>10192</v>
      </c>
      <c r="B322" s="1" t="s">
        <v>1134</v>
      </c>
      <c r="C322" s="1" t="s">
        <v>1135</v>
      </c>
      <c r="D322" s="1" t="s">
        <v>1136</v>
      </c>
      <c r="E322" s="1" t="s">
        <v>13</v>
      </c>
      <c r="F322" s="1" t="s">
        <v>1137</v>
      </c>
      <c r="G322" s="1">
        <v>10</v>
      </c>
      <c r="H322" s="1" t="s">
        <v>29</v>
      </c>
      <c r="I322" s="1">
        <v>0</v>
      </c>
      <c r="J322" s="1" t="s">
        <v>23</v>
      </c>
      <c r="K322" s="1">
        <v>40000</v>
      </c>
      <c r="L322" s="1" t="s">
        <v>24</v>
      </c>
      <c r="M322" s="3" t="s">
        <v>18</v>
      </c>
      <c r="N322" s="1" t="str">
        <f>INDEX(Table3[#All], MATCH(Table13[[#This Row],[Dept_Id]], Table3[[#All],[Dept_Id]], 0), 1)</f>
        <v>Production</v>
      </c>
    </row>
    <row r="323" spans="1:14" x14ac:dyDescent="0.25">
      <c r="A323" s="2">
        <v>10192</v>
      </c>
      <c r="B323" s="1" t="s">
        <v>1134</v>
      </c>
      <c r="C323" s="1" t="s">
        <v>1135</v>
      </c>
      <c r="D323" s="1" t="s">
        <v>1136</v>
      </c>
      <c r="E323" s="1" t="s">
        <v>13</v>
      </c>
      <c r="F323" s="1" t="s">
        <v>1137</v>
      </c>
      <c r="G323" s="1">
        <v>10</v>
      </c>
      <c r="H323" s="1" t="s">
        <v>29</v>
      </c>
      <c r="I323" s="1">
        <v>0</v>
      </c>
      <c r="J323" s="1" t="s">
        <v>23</v>
      </c>
      <c r="K323" s="1">
        <v>40000</v>
      </c>
      <c r="L323" s="1" t="s">
        <v>71</v>
      </c>
      <c r="M323" s="3" t="s">
        <v>18</v>
      </c>
      <c r="N323" s="1" t="str">
        <f>INDEX(Table3[#All], MATCH(Table13[[#This Row],[Dept_Id]], Table3[[#All],[Dept_Id]], 0), 1)</f>
        <v>Quality Management</v>
      </c>
    </row>
    <row r="324" spans="1:14" x14ac:dyDescent="0.25">
      <c r="A324" s="2">
        <v>464798</v>
      </c>
      <c r="B324" s="1" t="s">
        <v>1138</v>
      </c>
      <c r="C324" s="1" t="s">
        <v>1139</v>
      </c>
      <c r="D324" s="1" t="s">
        <v>1084</v>
      </c>
      <c r="E324" s="1" t="s">
        <v>13</v>
      </c>
      <c r="F324" s="1" t="s">
        <v>1140</v>
      </c>
      <c r="G324" s="1">
        <v>3</v>
      </c>
      <c r="H324" s="1" t="s">
        <v>29</v>
      </c>
      <c r="I324" s="1">
        <v>0</v>
      </c>
      <c r="J324" s="1" t="s">
        <v>23</v>
      </c>
      <c r="K324" s="1">
        <v>46791</v>
      </c>
      <c r="L324" s="1" t="s">
        <v>24</v>
      </c>
      <c r="M324" s="3" t="s">
        <v>18</v>
      </c>
      <c r="N324" s="1" t="str">
        <f>INDEX(Table3[#All], MATCH(Table13[[#This Row],[Dept_Id]], Table3[[#All],[Dept_Id]], 0), 1)</f>
        <v>Production</v>
      </c>
    </row>
    <row r="325" spans="1:14" x14ac:dyDescent="0.25">
      <c r="A325" s="2">
        <v>10193</v>
      </c>
      <c r="B325" s="1" t="s">
        <v>1141</v>
      </c>
      <c r="C325" s="1" t="s">
        <v>1142</v>
      </c>
      <c r="D325" s="1" t="s">
        <v>1143</v>
      </c>
      <c r="E325" s="1" t="s">
        <v>13</v>
      </c>
      <c r="F325" s="1" t="s">
        <v>1144</v>
      </c>
      <c r="G325" s="1">
        <v>1</v>
      </c>
      <c r="H325" s="1" t="s">
        <v>15</v>
      </c>
      <c r="I325" s="1">
        <v>0</v>
      </c>
      <c r="J325" s="1" t="s">
        <v>23</v>
      </c>
      <c r="K325" s="1">
        <v>48733</v>
      </c>
      <c r="L325" s="1" t="s">
        <v>17</v>
      </c>
      <c r="M325" s="3" t="s">
        <v>55</v>
      </c>
      <c r="N325" s="1" t="str">
        <f>INDEX(Table3[#All], MATCH(Table13[[#This Row],[Dept_Id]], Table3[[#All],[Dept_Id]], 0), 1)</f>
        <v>Development</v>
      </c>
    </row>
    <row r="326" spans="1:14" x14ac:dyDescent="0.25">
      <c r="A326" s="2">
        <v>10194</v>
      </c>
      <c r="B326" s="1" t="s">
        <v>1145</v>
      </c>
      <c r="C326" s="1" t="s">
        <v>1146</v>
      </c>
      <c r="D326" s="1" t="s">
        <v>1147</v>
      </c>
      <c r="E326" s="1" t="s">
        <v>33</v>
      </c>
      <c r="F326" s="1" t="s">
        <v>1148</v>
      </c>
      <c r="G326" s="1">
        <v>3</v>
      </c>
      <c r="H326" s="1" t="s">
        <v>29</v>
      </c>
      <c r="I326" s="1">
        <v>0</v>
      </c>
      <c r="J326" s="1" t="s">
        <v>23</v>
      </c>
      <c r="K326" s="1">
        <v>64941</v>
      </c>
      <c r="L326" s="1" t="s">
        <v>108</v>
      </c>
      <c r="M326" s="3" t="s">
        <v>41</v>
      </c>
      <c r="N326" s="1" t="str">
        <f>INDEX(Table3[#All], MATCH(Table13[[#This Row],[Dept_Id]], Table3[[#All],[Dept_Id]], 0), 1)</f>
        <v>Finance</v>
      </c>
    </row>
    <row r="327" spans="1:14" x14ac:dyDescent="0.25">
      <c r="A327" s="2">
        <v>37176</v>
      </c>
      <c r="B327" s="1" t="s">
        <v>1149</v>
      </c>
      <c r="C327" s="1" t="s">
        <v>1150</v>
      </c>
      <c r="D327" s="1" t="s">
        <v>1151</v>
      </c>
      <c r="E327" s="1" t="s">
        <v>13</v>
      </c>
      <c r="F327" s="1" t="s">
        <v>1114</v>
      </c>
      <c r="G327" s="1">
        <v>10</v>
      </c>
      <c r="H327" s="1" t="s">
        <v>15</v>
      </c>
      <c r="I327" s="1">
        <v>0</v>
      </c>
      <c r="J327" s="1" t="s">
        <v>23</v>
      </c>
      <c r="K327" s="1">
        <v>45396</v>
      </c>
      <c r="L327" s="1" t="s">
        <v>24</v>
      </c>
      <c r="M327" s="3" t="s">
        <v>18</v>
      </c>
      <c r="N327" s="1" t="str">
        <f>INDEX(Table3[#All], MATCH(Table13[[#This Row],[Dept_Id]], Table3[[#All],[Dept_Id]], 0), 1)</f>
        <v>Production</v>
      </c>
    </row>
    <row r="328" spans="1:14" x14ac:dyDescent="0.25">
      <c r="A328" s="2">
        <v>10195</v>
      </c>
      <c r="B328" s="1" t="s">
        <v>697</v>
      </c>
      <c r="C328" s="1" t="s">
        <v>1152</v>
      </c>
      <c r="D328" s="1" t="s">
        <v>1153</v>
      </c>
      <c r="E328" s="1" t="s">
        <v>13</v>
      </c>
      <c r="F328" s="1" t="s">
        <v>1154</v>
      </c>
      <c r="G328" s="1">
        <v>4</v>
      </c>
      <c r="H328" s="1" t="s">
        <v>29</v>
      </c>
      <c r="I328" s="1">
        <v>0</v>
      </c>
      <c r="J328" s="1" t="s">
        <v>23</v>
      </c>
      <c r="K328" s="1">
        <v>40000</v>
      </c>
      <c r="L328" s="1" t="s">
        <v>24</v>
      </c>
      <c r="M328" s="3" t="s">
        <v>18</v>
      </c>
      <c r="N328" s="1" t="str">
        <f>INDEX(Table3[#All], MATCH(Table13[[#This Row],[Dept_Id]], Table3[[#All],[Dept_Id]], 0), 1)</f>
        <v>Production</v>
      </c>
    </row>
    <row r="329" spans="1:14" x14ac:dyDescent="0.25">
      <c r="A329" s="2">
        <v>10196</v>
      </c>
      <c r="B329" s="1" t="s">
        <v>1155</v>
      </c>
      <c r="C329" s="1" t="s">
        <v>1156</v>
      </c>
      <c r="D329" s="1" t="s">
        <v>1157</v>
      </c>
      <c r="E329" s="1" t="s">
        <v>13</v>
      </c>
      <c r="F329" s="1" t="s">
        <v>1158</v>
      </c>
      <c r="G329" s="1">
        <v>6</v>
      </c>
      <c r="H329" s="1" t="s">
        <v>35</v>
      </c>
      <c r="I329" s="1">
        <v>0</v>
      </c>
      <c r="J329" s="1" t="s">
        <v>23</v>
      </c>
      <c r="K329" s="1">
        <v>86671</v>
      </c>
      <c r="L329" s="1" t="s">
        <v>108</v>
      </c>
      <c r="M329" s="3" t="s">
        <v>41</v>
      </c>
      <c r="N329" s="1" t="str">
        <f>INDEX(Table3[#All], MATCH(Table13[[#This Row],[Dept_Id]], Table3[[#All],[Dept_Id]], 0), 1)</f>
        <v>Finance</v>
      </c>
    </row>
    <row r="330" spans="1:14" x14ac:dyDescent="0.25">
      <c r="A330" s="2">
        <v>109820</v>
      </c>
      <c r="B330" s="1" t="s">
        <v>1159</v>
      </c>
      <c r="C330" s="1" t="s">
        <v>1160</v>
      </c>
      <c r="D330" s="1" t="s">
        <v>1161</v>
      </c>
      <c r="E330" s="1" t="s">
        <v>33</v>
      </c>
      <c r="F330" s="1" t="s">
        <v>1162</v>
      </c>
      <c r="G330" s="1">
        <v>1</v>
      </c>
      <c r="H330" s="1" t="s">
        <v>15</v>
      </c>
      <c r="I330" s="1">
        <v>0</v>
      </c>
      <c r="J330" s="1" t="s">
        <v>23</v>
      </c>
      <c r="K330" s="1">
        <v>40000</v>
      </c>
      <c r="L330" s="1" t="s">
        <v>17</v>
      </c>
      <c r="M330" s="3" t="s">
        <v>66</v>
      </c>
      <c r="N330" s="1" t="str">
        <f>INDEX(Table3[#All], MATCH(Table13[[#This Row],[Dept_Id]], Table3[[#All],[Dept_Id]], 0), 1)</f>
        <v>Development</v>
      </c>
    </row>
    <row r="331" spans="1:14" x14ac:dyDescent="0.25">
      <c r="A331" s="2">
        <v>10197</v>
      </c>
      <c r="B331" s="1" t="s">
        <v>1163</v>
      </c>
      <c r="C331" s="1" t="s">
        <v>1164</v>
      </c>
      <c r="D331" s="1" t="s">
        <v>1165</v>
      </c>
      <c r="E331" s="1" t="s">
        <v>33</v>
      </c>
      <c r="F331" s="1" t="s">
        <v>1166</v>
      </c>
      <c r="G331" s="1">
        <v>2</v>
      </c>
      <c r="H331" s="1" t="s">
        <v>35</v>
      </c>
      <c r="I331" s="1">
        <v>0</v>
      </c>
      <c r="J331" s="1" t="s">
        <v>23</v>
      </c>
      <c r="K331" s="1">
        <v>40000</v>
      </c>
      <c r="L331" s="1" t="s">
        <v>17</v>
      </c>
      <c r="M331" s="3" t="s">
        <v>18</v>
      </c>
      <c r="N331" s="1" t="str">
        <f>INDEX(Table3[#All], MATCH(Table13[[#This Row],[Dept_Id]], Table3[[#All],[Dept_Id]], 0), 1)</f>
        <v>Development</v>
      </c>
    </row>
    <row r="332" spans="1:14" x14ac:dyDescent="0.25">
      <c r="A332" s="2">
        <v>10198</v>
      </c>
      <c r="B332" s="1" t="s">
        <v>1167</v>
      </c>
      <c r="C332" s="1" t="s">
        <v>1168</v>
      </c>
      <c r="D332" s="1" t="s">
        <v>1169</v>
      </c>
      <c r="E332" s="1" t="s">
        <v>13</v>
      </c>
      <c r="F332" s="1" t="s">
        <v>1170</v>
      </c>
      <c r="G332" s="1">
        <v>10</v>
      </c>
      <c r="H332" s="1" t="s">
        <v>29</v>
      </c>
      <c r="I332" s="1">
        <v>0</v>
      </c>
      <c r="J332" s="1" t="s">
        <v>23</v>
      </c>
      <c r="K332" s="1">
        <v>44076</v>
      </c>
      <c r="L332" s="1" t="s">
        <v>17</v>
      </c>
      <c r="M332" s="3" t="s">
        <v>18</v>
      </c>
      <c r="N332" s="1" t="str">
        <f>INDEX(Table3[#All], MATCH(Table13[[#This Row],[Dept_Id]], Table3[[#All],[Dept_Id]], 0), 1)</f>
        <v>Development</v>
      </c>
    </row>
    <row r="333" spans="1:14" x14ac:dyDescent="0.25">
      <c r="A333" s="2">
        <v>246896</v>
      </c>
      <c r="B333" s="1" t="s">
        <v>1171</v>
      </c>
      <c r="C333" s="1" t="s">
        <v>1172</v>
      </c>
      <c r="D333" s="1" t="s">
        <v>1173</v>
      </c>
      <c r="E333" s="1" t="s">
        <v>33</v>
      </c>
      <c r="F333" s="1" t="s">
        <v>1174</v>
      </c>
      <c r="G333" s="1">
        <v>6</v>
      </c>
      <c r="H333" s="1" t="s">
        <v>29</v>
      </c>
      <c r="I333" s="1">
        <v>0</v>
      </c>
      <c r="J333" s="1" t="s">
        <v>23</v>
      </c>
      <c r="K333" s="1">
        <v>60075</v>
      </c>
      <c r="L333" s="1" t="s">
        <v>24</v>
      </c>
      <c r="M333" s="3" t="s">
        <v>55</v>
      </c>
      <c r="N333" s="1" t="str">
        <f>INDEX(Table3[#All], MATCH(Table13[[#This Row],[Dept_Id]], Table3[[#All],[Dept_Id]], 0), 1)</f>
        <v>Production</v>
      </c>
    </row>
    <row r="334" spans="1:14" x14ac:dyDescent="0.25">
      <c r="A334" s="2">
        <v>10199</v>
      </c>
      <c r="B334" s="1" t="s">
        <v>407</v>
      </c>
      <c r="C334" s="1" t="s">
        <v>1175</v>
      </c>
      <c r="D334" s="1" t="s">
        <v>1176</v>
      </c>
      <c r="E334" s="1" t="s">
        <v>13</v>
      </c>
      <c r="F334" s="1" t="s">
        <v>1177</v>
      </c>
      <c r="G334" s="1">
        <v>8</v>
      </c>
      <c r="H334" s="1" t="s">
        <v>15</v>
      </c>
      <c r="I334" s="1">
        <v>0</v>
      </c>
      <c r="J334" s="1" t="s">
        <v>23</v>
      </c>
      <c r="K334" s="1">
        <v>42042</v>
      </c>
      <c r="L334" s="1" t="s">
        <v>40</v>
      </c>
      <c r="M334" s="3" t="s">
        <v>41</v>
      </c>
      <c r="N334" s="1" t="str">
        <f>INDEX(Table3[#All], MATCH(Table13[[#This Row],[Dept_Id]], Table3[[#All],[Dept_Id]], 0), 1)</f>
        <v>Sales</v>
      </c>
    </row>
    <row r="335" spans="1:14" x14ac:dyDescent="0.25">
      <c r="A335" s="2">
        <v>10200</v>
      </c>
      <c r="B335" s="1" t="s">
        <v>134</v>
      </c>
      <c r="C335" s="1" t="s">
        <v>1178</v>
      </c>
      <c r="D335" s="1" t="s">
        <v>416</v>
      </c>
      <c r="E335" s="1" t="s">
        <v>13</v>
      </c>
      <c r="F335" s="1" t="s">
        <v>1179</v>
      </c>
      <c r="G335" s="1">
        <v>3</v>
      </c>
      <c r="H335" s="1" t="s">
        <v>35</v>
      </c>
      <c r="I335" s="1">
        <v>0</v>
      </c>
      <c r="J335" s="1" t="s">
        <v>23</v>
      </c>
      <c r="K335" s="1">
        <v>46879</v>
      </c>
      <c r="L335" s="1" t="s">
        <v>24</v>
      </c>
      <c r="M335" s="3" t="s">
        <v>18</v>
      </c>
      <c r="N335" s="1" t="str">
        <f>INDEX(Table3[#All], MATCH(Table13[[#This Row],[Dept_Id]], Table3[[#All],[Dept_Id]], 0), 1)</f>
        <v>Production</v>
      </c>
    </row>
    <row r="336" spans="1:14" x14ac:dyDescent="0.25">
      <c r="A336" s="2">
        <v>10200</v>
      </c>
      <c r="B336" s="1" t="s">
        <v>134</v>
      </c>
      <c r="C336" s="1" t="s">
        <v>1178</v>
      </c>
      <c r="D336" s="1" t="s">
        <v>416</v>
      </c>
      <c r="E336" s="1" t="s">
        <v>13</v>
      </c>
      <c r="F336" s="1" t="s">
        <v>1179</v>
      </c>
      <c r="G336" s="1">
        <v>3</v>
      </c>
      <c r="H336" s="1" t="s">
        <v>35</v>
      </c>
      <c r="I336" s="1">
        <v>0</v>
      </c>
      <c r="J336" s="1" t="s">
        <v>23</v>
      </c>
      <c r="K336" s="1">
        <v>46879</v>
      </c>
      <c r="L336" s="1" t="s">
        <v>71</v>
      </c>
      <c r="M336" s="3" t="s">
        <v>18</v>
      </c>
      <c r="N336" s="1" t="str">
        <f>INDEX(Table3[#All], MATCH(Table13[[#This Row],[Dept_Id]], Table3[[#All],[Dept_Id]], 0), 1)</f>
        <v>Quality Management</v>
      </c>
    </row>
    <row r="337" spans="1:14" x14ac:dyDescent="0.25">
      <c r="A337" s="2">
        <v>10201</v>
      </c>
      <c r="B337" s="1" t="s">
        <v>811</v>
      </c>
      <c r="C337" s="1" t="s">
        <v>1180</v>
      </c>
      <c r="D337" s="1" t="s">
        <v>1181</v>
      </c>
      <c r="E337" s="1" t="s">
        <v>33</v>
      </c>
      <c r="F337" s="1" t="s">
        <v>1182</v>
      </c>
      <c r="G337" s="1">
        <v>1</v>
      </c>
      <c r="H337" s="1" t="s">
        <v>370</v>
      </c>
      <c r="I337" s="1">
        <v>0</v>
      </c>
      <c r="J337" s="1" t="s">
        <v>23</v>
      </c>
      <c r="K337" s="1">
        <v>40000</v>
      </c>
      <c r="L337" s="1" t="s">
        <v>17</v>
      </c>
      <c r="M337" s="3" t="s">
        <v>18</v>
      </c>
      <c r="N337" s="1" t="str">
        <f>INDEX(Table3[#All], MATCH(Table13[[#This Row],[Dept_Id]], Table3[[#All],[Dept_Id]], 0), 1)</f>
        <v>Development</v>
      </c>
    </row>
    <row r="338" spans="1:14" x14ac:dyDescent="0.25">
      <c r="A338" s="2">
        <v>217945</v>
      </c>
      <c r="B338" s="1" t="s">
        <v>1183</v>
      </c>
      <c r="C338" s="1" t="s">
        <v>1184</v>
      </c>
      <c r="D338" s="1" t="s">
        <v>1185</v>
      </c>
      <c r="E338" s="1" t="s">
        <v>13</v>
      </c>
      <c r="F338" s="1" t="s">
        <v>1186</v>
      </c>
      <c r="G338" s="1">
        <v>7</v>
      </c>
      <c r="H338" s="1" t="s">
        <v>138</v>
      </c>
      <c r="I338" s="1">
        <v>0</v>
      </c>
      <c r="J338" s="1" t="s">
        <v>23</v>
      </c>
      <c r="K338" s="1">
        <v>88260</v>
      </c>
      <c r="L338" s="1" t="s">
        <v>40</v>
      </c>
      <c r="M338" s="3" t="s">
        <v>102</v>
      </c>
      <c r="N338" s="1" t="str">
        <f>INDEX(Table3[#All], MATCH(Table13[[#This Row],[Dept_Id]], Table3[[#All],[Dept_Id]], 0), 1)</f>
        <v>Sales</v>
      </c>
    </row>
    <row r="339" spans="1:14" x14ac:dyDescent="0.25">
      <c r="A339" s="2">
        <v>10202</v>
      </c>
      <c r="B339" s="1" t="s">
        <v>1187</v>
      </c>
      <c r="C339" s="1" t="s">
        <v>1188</v>
      </c>
      <c r="D339" s="1" t="s">
        <v>912</v>
      </c>
      <c r="E339" s="1" t="s">
        <v>13</v>
      </c>
      <c r="F339" s="1" t="s">
        <v>1189</v>
      </c>
      <c r="G339" s="1">
        <v>5</v>
      </c>
      <c r="H339" s="1" t="s">
        <v>29</v>
      </c>
      <c r="I339" s="1">
        <v>0</v>
      </c>
      <c r="J339" s="1" t="s">
        <v>23</v>
      </c>
      <c r="K339" s="1">
        <v>47338</v>
      </c>
      <c r="L339" s="1" t="s">
        <v>17</v>
      </c>
      <c r="M339" s="3" t="s">
        <v>18</v>
      </c>
      <c r="N339" s="1" t="str">
        <f>INDEX(Table3[#All], MATCH(Table13[[#This Row],[Dept_Id]], Table3[[#All],[Dept_Id]], 0), 1)</f>
        <v>Development</v>
      </c>
    </row>
    <row r="340" spans="1:14" x14ac:dyDescent="0.25">
      <c r="A340" s="2">
        <v>10203</v>
      </c>
      <c r="B340" s="1" t="s">
        <v>1190</v>
      </c>
      <c r="C340" s="1" t="s">
        <v>1191</v>
      </c>
      <c r="D340" s="1" t="s">
        <v>305</v>
      </c>
      <c r="E340" s="1" t="s">
        <v>13</v>
      </c>
      <c r="F340" s="1" t="s">
        <v>1192</v>
      </c>
      <c r="G340" s="1">
        <v>5</v>
      </c>
      <c r="H340" s="1" t="s">
        <v>29</v>
      </c>
      <c r="I340" s="1">
        <v>0</v>
      </c>
      <c r="J340" s="1" t="s">
        <v>23</v>
      </c>
      <c r="K340" s="1">
        <v>40000</v>
      </c>
      <c r="L340" s="1" t="s">
        <v>61</v>
      </c>
      <c r="M340" s="3" t="s">
        <v>41</v>
      </c>
      <c r="N340" s="1" t="str">
        <f>INDEX(Table3[#All], MATCH(Table13[[#This Row],[Dept_Id]], Table3[[#All],[Dept_Id]], 0), 1)</f>
        <v>Research</v>
      </c>
    </row>
    <row r="341" spans="1:14" x14ac:dyDescent="0.25">
      <c r="A341" s="2">
        <v>109600</v>
      </c>
      <c r="B341" s="1" t="s">
        <v>1193</v>
      </c>
      <c r="C341" s="1" t="s">
        <v>1194</v>
      </c>
      <c r="D341" s="1" t="s">
        <v>1195</v>
      </c>
      <c r="E341" s="1" t="s">
        <v>13</v>
      </c>
      <c r="F341" s="1" t="s">
        <v>196</v>
      </c>
      <c r="G341" s="1">
        <v>9</v>
      </c>
      <c r="H341" s="1" t="s">
        <v>29</v>
      </c>
      <c r="I341" s="1">
        <v>0</v>
      </c>
      <c r="J341" s="1" t="s">
        <v>23</v>
      </c>
      <c r="K341" s="1">
        <v>78057</v>
      </c>
      <c r="L341" s="1" t="s">
        <v>40</v>
      </c>
      <c r="M341" s="3" t="s">
        <v>41</v>
      </c>
      <c r="N341" s="1" t="str">
        <f>INDEX(Table3[#All], MATCH(Table13[[#This Row],[Dept_Id]], Table3[[#All],[Dept_Id]], 0), 1)</f>
        <v>Sales</v>
      </c>
    </row>
    <row r="342" spans="1:14" x14ac:dyDescent="0.25">
      <c r="A342" s="2">
        <v>10204</v>
      </c>
      <c r="B342" s="1" t="s">
        <v>1196</v>
      </c>
      <c r="C342" s="1" t="s">
        <v>242</v>
      </c>
      <c r="D342" s="1" t="s">
        <v>1197</v>
      </c>
      <c r="E342" s="1" t="s">
        <v>33</v>
      </c>
      <c r="F342" s="1" t="s">
        <v>1198</v>
      </c>
      <c r="G342" s="1">
        <v>7</v>
      </c>
      <c r="H342" s="1" t="s">
        <v>15</v>
      </c>
      <c r="I342" s="1">
        <v>0</v>
      </c>
      <c r="J342" s="1" t="s">
        <v>23</v>
      </c>
      <c r="K342" s="1">
        <v>40000</v>
      </c>
      <c r="L342" s="1" t="s">
        <v>17</v>
      </c>
      <c r="M342" s="3" t="s">
        <v>55</v>
      </c>
      <c r="N342" s="1" t="str">
        <f>INDEX(Table3[#All], MATCH(Table13[[#This Row],[Dept_Id]], Table3[[#All],[Dept_Id]], 0), 1)</f>
        <v>Development</v>
      </c>
    </row>
    <row r="343" spans="1:14" x14ac:dyDescent="0.25">
      <c r="A343" s="2">
        <v>10205</v>
      </c>
      <c r="B343" s="1" t="s">
        <v>899</v>
      </c>
      <c r="C343" s="1" t="s">
        <v>1199</v>
      </c>
      <c r="D343" s="1" t="s">
        <v>1200</v>
      </c>
      <c r="E343" s="1" t="s">
        <v>33</v>
      </c>
      <c r="F343" s="1" t="s">
        <v>1201</v>
      </c>
      <c r="G343" s="1">
        <v>4</v>
      </c>
      <c r="H343" s="1" t="s">
        <v>15</v>
      </c>
      <c r="I343" s="1">
        <v>0</v>
      </c>
      <c r="J343" s="1" t="s">
        <v>23</v>
      </c>
      <c r="K343" s="1">
        <v>40000</v>
      </c>
      <c r="L343" s="1" t="s">
        <v>24</v>
      </c>
      <c r="M343" s="3" t="s">
        <v>18</v>
      </c>
      <c r="N343" s="1" t="str">
        <f>INDEX(Table3[#All], MATCH(Table13[[#This Row],[Dept_Id]], Table3[[#All],[Dept_Id]], 0), 1)</f>
        <v>Production</v>
      </c>
    </row>
    <row r="344" spans="1:14" x14ac:dyDescent="0.25">
      <c r="A344" s="2">
        <v>230858</v>
      </c>
      <c r="B344" s="1" t="s">
        <v>1202</v>
      </c>
      <c r="C344" s="1" t="s">
        <v>1203</v>
      </c>
      <c r="D344" s="1" t="s">
        <v>1204</v>
      </c>
      <c r="E344" s="1" t="s">
        <v>33</v>
      </c>
      <c r="F344" s="1" t="s">
        <v>1205</v>
      </c>
      <c r="G344" s="1">
        <v>4</v>
      </c>
      <c r="H344" s="1" t="s">
        <v>29</v>
      </c>
      <c r="I344" s="1">
        <v>0</v>
      </c>
      <c r="J344" s="1" t="s">
        <v>23</v>
      </c>
      <c r="K344" s="1">
        <v>57381</v>
      </c>
      <c r="L344" s="1" t="s">
        <v>125</v>
      </c>
      <c r="M344" s="3" t="s">
        <v>41</v>
      </c>
      <c r="N344" s="1" t="str">
        <f>INDEX(Table3[#All], MATCH(Table13[[#This Row],[Dept_Id]], Table3[[#All],[Dept_Id]], 0), 1)</f>
        <v>Marketing</v>
      </c>
    </row>
    <row r="345" spans="1:14" x14ac:dyDescent="0.25">
      <c r="A345" s="2">
        <v>10206</v>
      </c>
      <c r="B345" s="1" t="s">
        <v>283</v>
      </c>
      <c r="C345" s="1" t="s">
        <v>1206</v>
      </c>
      <c r="D345" s="1" t="s">
        <v>1207</v>
      </c>
      <c r="E345" s="1" t="s">
        <v>33</v>
      </c>
      <c r="F345" s="1" t="s">
        <v>1208</v>
      </c>
      <c r="G345" s="1">
        <v>8</v>
      </c>
      <c r="H345" s="1" t="s">
        <v>29</v>
      </c>
      <c r="I345" s="1">
        <v>0</v>
      </c>
      <c r="J345" s="1" t="s">
        <v>23</v>
      </c>
      <c r="K345" s="1">
        <v>40000</v>
      </c>
      <c r="L345" s="1" t="s">
        <v>17</v>
      </c>
      <c r="M345" s="3" t="s">
        <v>156</v>
      </c>
      <c r="N345" s="1" t="str">
        <f>INDEX(Table3[#All], MATCH(Table13[[#This Row],[Dept_Id]], Table3[[#All],[Dept_Id]], 0), 1)</f>
        <v>Development</v>
      </c>
    </row>
    <row r="346" spans="1:14" x14ac:dyDescent="0.25">
      <c r="A346" s="2">
        <v>10207</v>
      </c>
      <c r="B346" s="1" t="s">
        <v>1209</v>
      </c>
      <c r="C346" s="1" t="s">
        <v>1210</v>
      </c>
      <c r="D346" s="1" t="s">
        <v>1211</v>
      </c>
      <c r="E346" s="1" t="s">
        <v>33</v>
      </c>
      <c r="F346" s="1" t="s">
        <v>1212</v>
      </c>
      <c r="G346" s="1">
        <v>8</v>
      </c>
      <c r="H346" s="1" t="s">
        <v>29</v>
      </c>
      <c r="I346" s="1">
        <v>0</v>
      </c>
      <c r="J346" s="1" t="s">
        <v>23</v>
      </c>
      <c r="K346" s="1">
        <v>52783</v>
      </c>
      <c r="L346" s="1" t="s">
        <v>17</v>
      </c>
      <c r="M346" s="3" t="s">
        <v>18</v>
      </c>
      <c r="N346" s="1" t="str">
        <f>INDEX(Table3[#All], MATCH(Table13[[#This Row],[Dept_Id]], Table3[[#All],[Dept_Id]], 0), 1)</f>
        <v>Development</v>
      </c>
    </row>
    <row r="347" spans="1:14" x14ac:dyDescent="0.25">
      <c r="A347" s="2">
        <v>279661</v>
      </c>
      <c r="B347" s="1" t="s">
        <v>1213</v>
      </c>
      <c r="C347" s="1" t="s">
        <v>900</v>
      </c>
      <c r="D347" s="1" t="s">
        <v>1214</v>
      </c>
      <c r="E347" s="1" t="s">
        <v>13</v>
      </c>
      <c r="F347" s="1" t="s">
        <v>1215</v>
      </c>
      <c r="G347" s="1">
        <v>6</v>
      </c>
      <c r="H347" s="1" t="s">
        <v>138</v>
      </c>
      <c r="I347" s="1">
        <v>0</v>
      </c>
      <c r="J347" s="1" t="s">
        <v>23</v>
      </c>
      <c r="K347" s="1">
        <v>58554</v>
      </c>
      <c r="L347" s="1" t="s">
        <v>40</v>
      </c>
      <c r="M347" s="3" t="s">
        <v>102</v>
      </c>
      <c r="N347" s="1" t="str">
        <f>INDEX(Table3[#All], MATCH(Table13[[#This Row],[Dept_Id]], Table3[[#All],[Dept_Id]], 0), 1)</f>
        <v>Sales</v>
      </c>
    </row>
    <row r="348" spans="1:14" x14ac:dyDescent="0.25">
      <c r="A348" s="2">
        <v>10208</v>
      </c>
      <c r="B348" s="1" t="s">
        <v>1216</v>
      </c>
      <c r="C348" s="1" t="s">
        <v>1217</v>
      </c>
      <c r="D348" s="1" t="s">
        <v>1218</v>
      </c>
      <c r="E348" s="1" t="s">
        <v>13</v>
      </c>
      <c r="F348" s="1" t="s">
        <v>1219</v>
      </c>
      <c r="G348" s="1">
        <v>7</v>
      </c>
      <c r="H348" s="1" t="s">
        <v>138</v>
      </c>
      <c r="I348" s="1">
        <v>0</v>
      </c>
      <c r="J348" s="1" t="s">
        <v>23</v>
      </c>
      <c r="K348" s="1">
        <v>61890</v>
      </c>
      <c r="L348" s="1" t="s">
        <v>125</v>
      </c>
      <c r="M348" s="3" t="s">
        <v>41</v>
      </c>
      <c r="N348" s="1" t="str">
        <f>INDEX(Table3[#All], MATCH(Table13[[#This Row],[Dept_Id]], Table3[[#All],[Dept_Id]], 0), 1)</f>
        <v>Marketing</v>
      </c>
    </row>
    <row r="349" spans="1:14" x14ac:dyDescent="0.25">
      <c r="A349" s="2">
        <v>10209</v>
      </c>
      <c r="B349" s="1" t="s">
        <v>1220</v>
      </c>
      <c r="C349" s="1" t="s">
        <v>1221</v>
      </c>
      <c r="D349" s="1" t="s">
        <v>1222</v>
      </c>
      <c r="E349" s="1" t="s">
        <v>33</v>
      </c>
      <c r="F349" s="1" t="s">
        <v>1223</v>
      </c>
      <c r="G349" s="1">
        <v>10</v>
      </c>
      <c r="H349" s="1" t="s">
        <v>15</v>
      </c>
      <c r="I349" s="1">
        <v>0</v>
      </c>
      <c r="J349" s="1" t="s">
        <v>23</v>
      </c>
      <c r="K349" s="1">
        <v>57996</v>
      </c>
      <c r="L349" s="1" t="s">
        <v>108</v>
      </c>
      <c r="M349" s="3" t="s">
        <v>41</v>
      </c>
      <c r="N349" s="1" t="str">
        <f>INDEX(Table3[#All], MATCH(Table13[[#This Row],[Dept_Id]], Table3[[#All],[Dept_Id]], 0), 1)</f>
        <v>Finance</v>
      </c>
    </row>
    <row r="350" spans="1:14" x14ac:dyDescent="0.25">
      <c r="A350" s="2">
        <v>10209</v>
      </c>
      <c r="B350" s="1" t="s">
        <v>1220</v>
      </c>
      <c r="C350" s="1" t="s">
        <v>1221</v>
      </c>
      <c r="D350" s="1" t="s">
        <v>1222</v>
      </c>
      <c r="E350" s="1" t="s">
        <v>33</v>
      </c>
      <c r="F350" s="1" t="s">
        <v>1223</v>
      </c>
      <c r="G350" s="1">
        <v>10</v>
      </c>
      <c r="H350" s="1" t="s">
        <v>15</v>
      </c>
      <c r="I350" s="1">
        <v>0</v>
      </c>
      <c r="J350" s="1" t="s">
        <v>23</v>
      </c>
      <c r="K350" s="1">
        <v>57996</v>
      </c>
      <c r="L350" s="1" t="s">
        <v>40</v>
      </c>
      <c r="M350" s="3" t="s">
        <v>41</v>
      </c>
      <c r="N350" s="1" t="str">
        <f>INDEX(Table3[#All], MATCH(Table13[[#This Row],[Dept_Id]], Table3[[#All],[Dept_Id]], 0), 1)</f>
        <v>Sales</v>
      </c>
    </row>
    <row r="351" spans="1:14" x14ac:dyDescent="0.25">
      <c r="A351" s="2">
        <v>287414</v>
      </c>
      <c r="B351" s="1" t="s">
        <v>347</v>
      </c>
      <c r="C351" s="1" t="s">
        <v>1224</v>
      </c>
      <c r="D351" s="1" t="s">
        <v>1225</v>
      </c>
      <c r="E351" s="1" t="s">
        <v>13</v>
      </c>
      <c r="F351" s="1" t="s">
        <v>1226</v>
      </c>
      <c r="G351" s="1">
        <v>4</v>
      </c>
      <c r="H351" s="1" t="s">
        <v>35</v>
      </c>
      <c r="I351" s="1">
        <v>0</v>
      </c>
      <c r="J351" s="1" t="s">
        <v>23</v>
      </c>
      <c r="K351" s="1">
        <v>51536</v>
      </c>
      <c r="L351" s="1" t="s">
        <v>24</v>
      </c>
      <c r="M351" s="3" t="s">
        <v>18</v>
      </c>
      <c r="N351" s="1" t="str">
        <f>INDEX(Table3[#All], MATCH(Table13[[#This Row],[Dept_Id]], Table3[[#All],[Dept_Id]], 0), 1)</f>
        <v>Production</v>
      </c>
    </row>
    <row r="352" spans="1:14" x14ac:dyDescent="0.25">
      <c r="A352" s="2">
        <v>10210</v>
      </c>
      <c r="B352" s="1" t="s">
        <v>1227</v>
      </c>
      <c r="C352" s="1" t="s">
        <v>1228</v>
      </c>
      <c r="D352" s="1" t="s">
        <v>1229</v>
      </c>
      <c r="E352" s="1" t="s">
        <v>13</v>
      </c>
      <c r="F352" s="1" t="s">
        <v>1230</v>
      </c>
      <c r="G352" s="1">
        <v>3</v>
      </c>
      <c r="H352" s="1" t="s">
        <v>35</v>
      </c>
      <c r="I352" s="1">
        <v>1</v>
      </c>
      <c r="J352" s="1" t="s">
        <v>1231</v>
      </c>
      <c r="K352" s="1">
        <v>40000</v>
      </c>
      <c r="L352" s="1" t="s">
        <v>89</v>
      </c>
      <c r="M352" s="3" t="s">
        <v>41</v>
      </c>
      <c r="N352" s="1" t="str">
        <f>INDEX(Table3[#All], MATCH(Table13[[#This Row],[Dept_Id]], Table3[[#All],[Dept_Id]], 0), 1)</f>
        <v>Customer Service</v>
      </c>
    </row>
    <row r="353" spans="1:14" x14ac:dyDescent="0.25">
      <c r="A353" s="2">
        <v>210499</v>
      </c>
      <c r="B353" s="1" t="s">
        <v>1232</v>
      </c>
      <c r="C353" s="1" t="s">
        <v>1233</v>
      </c>
      <c r="D353" s="1" t="s">
        <v>1234</v>
      </c>
      <c r="E353" s="1" t="s">
        <v>13</v>
      </c>
      <c r="F353" s="1" t="s">
        <v>1235</v>
      </c>
      <c r="G353" s="1">
        <v>5</v>
      </c>
      <c r="H353" s="1" t="s">
        <v>15</v>
      </c>
      <c r="I353" s="1">
        <v>0</v>
      </c>
      <c r="J353" s="1" t="s">
        <v>23</v>
      </c>
      <c r="K353" s="1">
        <v>71701</v>
      </c>
      <c r="L353" s="1" t="s">
        <v>125</v>
      </c>
      <c r="M353" s="3" t="s">
        <v>41</v>
      </c>
      <c r="N353" s="1" t="str">
        <f>INDEX(Table3[#All], MATCH(Table13[[#This Row],[Dept_Id]], Table3[[#All],[Dept_Id]], 0), 1)</f>
        <v>Marketing</v>
      </c>
    </row>
    <row r="354" spans="1:14" x14ac:dyDescent="0.25">
      <c r="A354" s="2">
        <v>10211</v>
      </c>
      <c r="B354" s="1" t="s">
        <v>1236</v>
      </c>
      <c r="C354" s="1" t="s">
        <v>1237</v>
      </c>
      <c r="D354" s="1" t="s">
        <v>1238</v>
      </c>
      <c r="E354" s="1" t="s">
        <v>33</v>
      </c>
      <c r="F354" s="1" t="s">
        <v>1239</v>
      </c>
      <c r="G354" s="1">
        <v>7</v>
      </c>
      <c r="H354" s="1" t="s">
        <v>35</v>
      </c>
      <c r="I354" s="1">
        <v>0</v>
      </c>
      <c r="J354" s="1" t="s">
        <v>23</v>
      </c>
      <c r="K354" s="1">
        <v>49032</v>
      </c>
      <c r="L354" s="1" t="s">
        <v>17</v>
      </c>
      <c r="M354" s="3" t="s">
        <v>18</v>
      </c>
      <c r="N354" s="1" t="str">
        <f>INDEX(Table3[#All], MATCH(Table13[[#This Row],[Dept_Id]], Table3[[#All],[Dept_Id]], 0), 1)</f>
        <v>Development</v>
      </c>
    </row>
    <row r="355" spans="1:14" x14ac:dyDescent="0.25">
      <c r="A355" s="2">
        <v>10212</v>
      </c>
      <c r="B355" s="1" t="s">
        <v>1240</v>
      </c>
      <c r="C355" s="1" t="s">
        <v>190</v>
      </c>
      <c r="D355" s="1" t="s">
        <v>1241</v>
      </c>
      <c r="E355" s="1" t="s">
        <v>13</v>
      </c>
      <c r="F355" s="1" t="s">
        <v>1242</v>
      </c>
      <c r="G355" s="1">
        <v>8</v>
      </c>
      <c r="H355" s="1" t="s">
        <v>35</v>
      </c>
      <c r="I355" s="1">
        <v>1</v>
      </c>
      <c r="J355" s="1" t="s">
        <v>1243</v>
      </c>
      <c r="K355" s="1">
        <v>65938</v>
      </c>
      <c r="L355" s="1" t="s">
        <v>17</v>
      </c>
      <c r="M355" s="3" t="s">
        <v>18</v>
      </c>
      <c r="N355" s="1" t="str">
        <f>INDEX(Table3[#All], MATCH(Table13[[#This Row],[Dept_Id]], Table3[[#All],[Dept_Id]], 0), 1)</f>
        <v>Development</v>
      </c>
    </row>
    <row r="356" spans="1:14" x14ac:dyDescent="0.25">
      <c r="A356" s="2">
        <v>268566</v>
      </c>
      <c r="B356" s="1" t="s">
        <v>1244</v>
      </c>
      <c r="C356" s="1" t="s">
        <v>1150</v>
      </c>
      <c r="D356" s="1" t="s">
        <v>1245</v>
      </c>
      <c r="E356" s="1" t="s">
        <v>13</v>
      </c>
      <c r="F356" s="1" t="s">
        <v>1246</v>
      </c>
      <c r="G356" s="1">
        <v>8</v>
      </c>
      <c r="H356" s="1" t="s">
        <v>29</v>
      </c>
      <c r="I356" s="1">
        <v>0</v>
      </c>
      <c r="J356" s="1" t="s">
        <v>23</v>
      </c>
      <c r="K356" s="1">
        <v>73481</v>
      </c>
      <c r="L356" s="1" t="s">
        <v>40</v>
      </c>
      <c r="M356" s="3" t="s">
        <v>41</v>
      </c>
      <c r="N356" s="1" t="str">
        <f>INDEX(Table3[#All], MATCH(Table13[[#This Row],[Dept_Id]], Table3[[#All],[Dept_Id]], 0), 1)</f>
        <v>Sales</v>
      </c>
    </row>
    <row r="357" spans="1:14" x14ac:dyDescent="0.25">
      <c r="A357" s="2">
        <v>10213</v>
      </c>
      <c r="B357" s="1" t="s">
        <v>1247</v>
      </c>
      <c r="C357" s="1" t="s">
        <v>1248</v>
      </c>
      <c r="D357" s="1" t="s">
        <v>1249</v>
      </c>
      <c r="E357" s="1" t="s">
        <v>13</v>
      </c>
      <c r="F357" s="1" t="s">
        <v>1250</v>
      </c>
      <c r="G357" s="1">
        <v>8</v>
      </c>
      <c r="H357" s="1" t="s">
        <v>15</v>
      </c>
      <c r="I357" s="1">
        <v>0</v>
      </c>
      <c r="J357" s="1" t="s">
        <v>23</v>
      </c>
      <c r="K357" s="1">
        <v>40000</v>
      </c>
      <c r="L357" s="1" t="s">
        <v>89</v>
      </c>
      <c r="M357" s="3" t="s">
        <v>41</v>
      </c>
      <c r="N357" s="1" t="str">
        <f>INDEX(Table3[#All], MATCH(Table13[[#This Row],[Dept_Id]], Table3[[#All],[Dept_Id]], 0), 1)</f>
        <v>Customer Service</v>
      </c>
    </row>
    <row r="358" spans="1:14" x14ac:dyDescent="0.25">
      <c r="A358" s="2">
        <v>10214</v>
      </c>
      <c r="B358" s="1" t="s">
        <v>1251</v>
      </c>
      <c r="C358" s="1" t="s">
        <v>1252</v>
      </c>
      <c r="D358" s="1" t="s">
        <v>1253</v>
      </c>
      <c r="E358" s="1" t="s">
        <v>13</v>
      </c>
      <c r="F358" s="1" t="s">
        <v>1254</v>
      </c>
      <c r="G358" s="1">
        <v>10</v>
      </c>
      <c r="H358" s="1" t="s">
        <v>29</v>
      </c>
      <c r="I358" s="1">
        <v>0</v>
      </c>
      <c r="J358" s="1" t="s">
        <v>23</v>
      </c>
      <c r="K358" s="1">
        <v>58341</v>
      </c>
      <c r="L358" s="1" t="s">
        <v>40</v>
      </c>
      <c r="M358" s="3" t="s">
        <v>102</v>
      </c>
      <c r="N358" s="1" t="str">
        <f>INDEX(Table3[#All], MATCH(Table13[[#This Row],[Dept_Id]], Table3[[#All],[Dept_Id]], 0), 1)</f>
        <v>Sales</v>
      </c>
    </row>
    <row r="359" spans="1:14" x14ac:dyDescent="0.25">
      <c r="A359" s="2">
        <v>53312</v>
      </c>
      <c r="B359" s="1" t="s">
        <v>1255</v>
      </c>
      <c r="C359" s="1" t="s">
        <v>1256</v>
      </c>
      <c r="D359" s="1" t="s">
        <v>1257</v>
      </c>
      <c r="E359" s="1" t="s">
        <v>13</v>
      </c>
      <c r="F359" s="1" t="s">
        <v>1258</v>
      </c>
      <c r="G359" s="1">
        <v>5</v>
      </c>
      <c r="H359" s="1" t="s">
        <v>15</v>
      </c>
      <c r="I359" s="1">
        <v>0</v>
      </c>
      <c r="J359" s="1" t="s">
        <v>23</v>
      </c>
      <c r="K359" s="1">
        <v>70268</v>
      </c>
      <c r="L359" s="1" t="s">
        <v>40</v>
      </c>
      <c r="M359" s="3" t="s">
        <v>41</v>
      </c>
      <c r="N359" s="1" t="str">
        <f>INDEX(Table3[#All], MATCH(Table13[[#This Row],[Dept_Id]], Table3[[#All],[Dept_Id]], 0), 1)</f>
        <v>Sales</v>
      </c>
    </row>
    <row r="360" spans="1:14" x14ac:dyDescent="0.25">
      <c r="A360" s="2">
        <v>10215</v>
      </c>
      <c r="B360" s="1" t="s">
        <v>1259</v>
      </c>
      <c r="C360" s="1" t="s">
        <v>1260</v>
      </c>
      <c r="D360" s="1" t="s">
        <v>1069</v>
      </c>
      <c r="E360" s="1" t="s">
        <v>13</v>
      </c>
      <c r="F360" s="1" t="s">
        <v>1261</v>
      </c>
      <c r="G360" s="1">
        <v>1</v>
      </c>
      <c r="H360" s="1" t="s">
        <v>29</v>
      </c>
      <c r="I360" s="1">
        <v>0</v>
      </c>
      <c r="J360" s="1" t="s">
        <v>23</v>
      </c>
      <c r="K360" s="1">
        <v>43944</v>
      </c>
      <c r="L360" s="1" t="s">
        <v>40</v>
      </c>
      <c r="M360" s="3" t="s">
        <v>102</v>
      </c>
      <c r="N360" s="1" t="str">
        <f>INDEX(Table3[#All], MATCH(Table13[[#This Row],[Dept_Id]], Table3[[#All],[Dept_Id]], 0), 1)</f>
        <v>Sales</v>
      </c>
    </row>
    <row r="361" spans="1:14" x14ac:dyDescent="0.25">
      <c r="A361" s="2">
        <v>10216</v>
      </c>
      <c r="B361" s="1" t="s">
        <v>1262</v>
      </c>
      <c r="C361" s="1" t="s">
        <v>1263</v>
      </c>
      <c r="D361" s="1" t="s">
        <v>1264</v>
      </c>
      <c r="E361" s="1" t="s">
        <v>13</v>
      </c>
      <c r="F361" s="1" t="s">
        <v>1265</v>
      </c>
      <c r="G361" s="1">
        <v>5</v>
      </c>
      <c r="H361" s="1" t="s">
        <v>29</v>
      </c>
      <c r="I361" s="1">
        <v>1</v>
      </c>
      <c r="J361" s="1" t="s">
        <v>1266</v>
      </c>
      <c r="K361" s="1">
        <v>40000</v>
      </c>
      <c r="L361" s="1" t="s">
        <v>61</v>
      </c>
      <c r="M361" s="3" t="s">
        <v>41</v>
      </c>
      <c r="N361" s="1" t="str">
        <f>INDEX(Table3[#All], MATCH(Table13[[#This Row],[Dept_Id]], Table3[[#All],[Dept_Id]], 0), 1)</f>
        <v>Research</v>
      </c>
    </row>
    <row r="362" spans="1:14" x14ac:dyDescent="0.25">
      <c r="A362" s="2">
        <v>214747</v>
      </c>
      <c r="B362" s="1" t="s">
        <v>1267</v>
      </c>
      <c r="C362" s="1" t="s">
        <v>1268</v>
      </c>
      <c r="D362" s="1" t="s">
        <v>1269</v>
      </c>
      <c r="E362" s="1" t="s">
        <v>33</v>
      </c>
      <c r="F362" s="1" t="s">
        <v>1270</v>
      </c>
      <c r="G362" s="1">
        <v>3</v>
      </c>
      <c r="H362" s="1" t="s">
        <v>29</v>
      </c>
      <c r="I362" s="1">
        <v>1</v>
      </c>
      <c r="J362" s="1" t="s">
        <v>1271</v>
      </c>
      <c r="K362" s="1">
        <v>40000</v>
      </c>
      <c r="L362" s="1" t="s">
        <v>89</v>
      </c>
      <c r="M362" s="3" t="s">
        <v>41</v>
      </c>
      <c r="N362" s="1" t="str">
        <f>INDEX(Table3[#All], MATCH(Table13[[#This Row],[Dept_Id]], Table3[[#All],[Dept_Id]], 0), 1)</f>
        <v>Customer Service</v>
      </c>
    </row>
    <row r="363" spans="1:14" x14ac:dyDescent="0.25">
      <c r="A363" s="2">
        <v>10217</v>
      </c>
      <c r="B363" s="1" t="s">
        <v>1272</v>
      </c>
      <c r="C363" s="1" t="s">
        <v>1273</v>
      </c>
      <c r="D363" s="1" t="s">
        <v>1274</v>
      </c>
      <c r="E363" s="1" t="s">
        <v>33</v>
      </c>
      <c r="F363" s="1" t="s">
        <v>1275</v>
      </c>
      <c r="G363" s="1">
        <v>2</v>
      </c>
      <c r="H363" s="1" t="s">
        <v>35</v>
      </c>
      <c r="I363" s="1">
        <v>0</v>
      </c>
      <c r="J363" s="1" t="s">
        <v>23</v>
      </c>
      <c r="K363" s="1">
        <v>40000</v>
      </c>
      <c r="L363" s="1" t="s">
        <v>24</v>
      </c>
      <c r="M363" s="3" t="s">
        <v>156</v>
      </c>
      <c r="N363" s="1" t="str">
        <f>INDEX(Table3[#All], MATCH(Table13[[#This Row],[Dept_Id]], Table3[[#All],[Dept_Id]], 0), 1)</f>
        <v>Production</v>
      </c>
    </row>
    <row r="364" spans="1:14" x14ac:dyDescent="0.25">
      <c r="A364" s="2">
        <v>10218</v>
      </c>
      <c r="B364" s="1" t="s">
        <v>1276</v>
      </c>
      <c r="C364" s="1" t="s">
        <v>763</v>
      </c>
      <c r="D364" s="1" t="s">
        <v>1277</v>
      </c>
      <c r="E364" s="1" t="s">
        <v>13</v>
      </c>
      <c r="F364" s="1" t="s">
        <v>1278</v>
      </c>
      <c r="G364" s="1">
        <v>5</v>
      </c>
      <c r="H364" s="1" t="s">
        <v>35</v>
      </c>
      <c r="I364" s="1">
        <v>1</v>
      </c>
      <c r="J364" s="1" t="s">
        <v>1279</v>
      </c>
      <c r="K364" s="1">
        <v>40788</v>
      </c>
      <c r="L364" s="1" t="s">
        <v>24</v>
      </c>
      <c r="M364" s="3" t="s">
        <v>18</v>
      </c>
      <c r="N364" s="1" t="str">
        <f>INDEX(Table3[#All], MATCH(Table13[[#This Row],[Dept_Id]], Table3[[#All],[Dept_Id]], 0), 1)</f>
        <v>Production</v>
      </c>
    </row>
    <row r="365" spans="1:14" x14ac:dyDescent="0.25">
      <c r="A365" s="2">
        <v>231751</v>
      </c>
      <c r="B365" s="1" t="s">
        <v>1280</v>
      </c>
      <c r="C365" s="1" t="s">
        <v>1281</v>
      </c>
      <c r="D365" s="1" t="s">
        <v>149</v>
      </c>
      <c r="E365" s="1" t="s">
        <v>33</v>
      </c>
      <c r="F365" s="1" t="s">
        <v>1282</v>
      </c>
      <c r="G365" s="1">
        <v>9</v>
      </c>
      <c r="H365" s="1" t="s">
        <v>15</v>
      </c>
      <c r="I365" s="1">
        <v>0</v>
      </c>
      <c r="J365" s="1" t="s">
        <v>23</v>
      </c>
      <c r="K365" s="1">
        <v>40000</v>
      </c>
      <c r="L365" s="1" t="s">
        <v>89</v>
      </c>
      <c r="M365" s="3" t="s">
        <v>102</v>
      </c>
      <c r="N365" s="1" t="str">
        <f>INDEX(Table3[#All], MATCH(Table13[[#This Row],[Dept_Id]], Table3[[#All],[Dept_Id]], 0), 1)</f>
        <v>Customer Service</v>
      </c>
    </row>
    <row r="366" spans="1:14" x14ac:dyDescent="0.25">
      <c r="A366" s="2">
        <v>10219</v>
      </c>
      <c r="B366" s="1" t="s">
        <v>1283</v>
      </c>
      <c r="C366" s="1" t="s">
        <v>1284</v>
      </c>
      <c r="D366" s="1" t="s">
        <v>1285</v>
      </c>
      <c r="E366" s="1" t="s">
        <v>13</v>
      </c>
      <c r="F366" s="1" t="s">
        <v>1286</v>
      </c>
      <c r="G366" s="1">
        <v>2</v>
      </c>
      <c r="H366" s="1" t="s">
        <v>35</v>
      </c>
      <c r="I366" s="1">
        <v>0</v>
      </c>
      <c r="J366" s="1" t="s">
        <v>23</v>
      </c>
      <c r="K366" s="1">
        <v>40000</v>
      </c>
      <c r="L366" s="1" t="s">
        <v>17</v>
      </c>
      <c r="M366" s="3" t="s">
        <v>102</v>
      </c>
      <c r="N366" s="1" t="str">
        <f>INDEX(Table3[#All], MATCH(Table13[[#This Row],[Dept_Id]], Table3[[#All],[Dept_Id]], 0), 1)</f>
        <v>Development</v>
      </c>
    </row>
    <row r="367" spans="1:14" x14ac:dyDescent="0.25">
      <c r="A367" s="2">
        <v>10219</v>
      </c>
      <c r="B367" s="1" t="s">
        <v>1283</v>
      </c>
      <c r="C367" s="1" t="s">
        <v>1284</v>
      </c>
      <c r="D367" s="1" t="s">
        <v>1285</v>
      </c>
      <c r="E367" s="1" t="s">
        <v>13</v>
      </c>
      <c r="F367" s="1" t="s">
        <v>1286</v>
      </c>
      <c r="G367" s="1">
        <v>2</v>
      </c>
      <c r="H367" s="1" t="s">
        <v>35</v>
      </c>
      <c r="I367" s="1">
        <v>0</v>
      </c>
      <c r="J367" s="1" t="s">
        <v>23</v>
      </c>
      <c r="K367" s="1">
        <v>40000</v>
      </c>
      <c r="L367" s="1" t="s">
        <v>89</v>
      </c>
      <c r="M367" s="3" t="s">
        <v>102</v>
      </c>
      <c r="N367" s="1" t="str">
        <f>INDEX(Table3[#All], MATCH(Table13[[#This Row],[Dept_Id]], Table3[[#All],[Dept_Id]], 0), 1)</f>
        <v>Customer Service</v>
      </c>
    </row>
    <row r="368" spans="1:14" x14ac:dyDescent="0.25">
      <c r="A368" s="2">
        <v>201452</v>
      </c>
      <c r="B368" s="1" t="s">
        <v>1287</v>
      </c>
      <c r="C368" s="1" t="s">
        <v>214</v>
      </c>
      <c r="D368" s="1" t="s">
        <v>1229</v>
      </c>
      <c r="E368" s="1" t="s">
        <v>13</v>
      </c>
      <c r="F368" s="1" t="s">
        <v>1288</v>
      </c>
      <c r="G368" s="1">
        <v>6</v>
      </c>
      <c r="H368" s="1" t="s">
        <v>15</v>
      </c>
      <c r="I368" s="1">
        <v>0</v>
      </c>
      <c r="J368" s="1" t="s">
        <v>23</v>
      </c>
      <c r="K368" s="1">
        <v>58639</v>
      </c>
      <c r="L368" s="1" t="s">
        <v>24</v>
      </c>
      <c r="M368" s="3" t="s">
        <v>55</v>
      </c>
      <c r="N368" s="1" t="str">
        <f>INDEX(Table3[#All], MATCH(Table13[[#This Row],[Dept_Id]], Table3[[#All],[Dept_Id]], 0), 1)</f>
        <v>Production</v>
      </c>
    </row>
    <row r="369" spans="1:14" x14ac:dyDescent="0.25">
      <c r="A369" s="2">
        <v>10220</v>
      </c>
      <c r="B369" s="1" t="s">
        <v>1289</v>
      </c>
      <c r="C369" s="1" t="s">
        <v>1290</v>
      </c>
      <c r="D369" s="1" t="s">
        <v>1291</v>
      </c>
      <c r="E369" s="1" t="s">
        <v>33</v>
      </c>
      <c r="F369" s="1" t="s">
        <v>1292</v>
      </c>
      <c r="G369" s="1">
        <v>8</v>
      </c>
      <c r="H369" s="1" t="s">
        <v>15</v>
      </c>
      <c r="I369" s="1">
        <v>0</v>
      </c>
      <c r="J369" s="1" t="s">
        <v>23</v>
      </c>
      <c r="K369" s="1">
        <v>58883</v>
      </c>
      <c r="L369" s="1" t="s">
        <v>108</v>
      </c>
      <c r="M369" s="3" t="s">
        <v>41</v>
      </c>
      <c r="N369" s="1" t="str">
        <f>INDEX(Table3[#All], MATCH(Table13[[#This Row],[Dept_Id]], Table3[[#All],[Dept_Id]], 0), 1)</f>
        <v>Finance</v>
      </c>
    </row>
    <row r="370" spans="1:14" x14ac:dyDescent="0.25">
      <c r="A370" s="2">
        <v>10221</v>
      </c>
      <c r="B370" s="1" t="s">
        <v>1293</v>
      </c>
      <c r="C370" s="1" t="s">
        <v>1294</v>
      </c>
      <c r="D370" s="1" t="s">
        <v>1295</v>
      </c>
      <c r="E370" s="1" t="s">
        <v>13</v>
      </c>
      <c r="F370" s="1" t="s">
        <v>1296</v>
      </c>
      <c r="G370" s="1">
        <v>1</v>
      </c>
      <c r="H370" s="1" t="s">
        <v>15</v>
      </c>
      <c r="I370" s="1">
        <v>0</v>
      </c>
      <c r="J370" s="1" t="s">
        <v>23</v>
      </c>
      <c r="K370" s="1">
        <v>57821</v>
      </c>
      <c r="L370" s="1" t="s">
        <v>24</v>
      </c>
      <c r="M370" s="3" t="s">
        <v>18</v>
      </c>
      <c r="N370" s="1" t="str">
        <f>INDEX(Table3[#All], MATCH(Table13[[#This Row],[Dept_Id]], Table3[[#All],[Dept_Id]], 0), 1)</f>
        <v>Production</v>
      </c>
    </row>
    <row r="371" spans="1:14" x14ac:dyDescent="0.25">
      <c r="A371" s="2">
        <v>435436</v>
      </c>
      <c r="B371" s="1" t="s">
        <v>1297</v>
      </c>
      <c r="C371" s="1" t="s">
        <v>1298</v>
      </c>
      <c r="D371" s="1" t="s">
        <v>1299</v>
      </c>
      <c r="E371" s="1" t="s">
        <v>33</v>
      </c>
      <c r="F371" s="1" t="s">
        <v>1300</v>
      </c>
      <c r="G371" s="1">
        <v>2</v>
      </c>
      <c r="H371" s="1" t="s">
        <v>29</v>
      </c>
      <c r="I371" s="1">
        <v>1</v>
      </c>
      <c r="J371" s="1" t="s">
        <v>1301</v>
      </c>
      <c r="K371" s="1">
        <v>55903</v>
      </c>
      <c r="L371" s="1" t="s">
        <v>24</v>
      </c>
      <c r="M371" s="3" t="s">
        <v>18</v>
      </c>
      <c r="N371" s="1" t="str">
        <f>INDEX(Table3[#All], MATCH(Table13[[#This Row],[Dept_Id]], Table3[[#All],[Dept_Id]], 0), 1)</f>
        <v>Production</v>
      </c>
    </row>
    <row r="372" spans="1:14" x14ac:dyDescent="0.25">
      <c r="A372" s="2">
        <v>10222</v>
      </c>
      <c r="B372" s="1" t="s">
        <v>1302</v>
      </c>
      <c r="C372" s="1" t="s">
        <v>1303</v>
      </c>
      <c r="D372" s="1" t="s">
        <v>1304</v>
      </c>
      <c r="E372" s="1" t="s">
        <v>13</v>
      </c>
      <c r="F372" s="1" t="s">
        <v>1305</v>
      </c>
      <c r="G372" s="1">
        <v>7</v>
      </c>
      <c r="H372" s="1" t="s">
        <v>29</v>
      </c>
      <c r="I372" s="1">
        <v>0</v>
      </c>
      <c r="J372" s="1" t="s">
        <v>23</v>
      </c>
      <c r="K372" s="1">
        <v>40000</v>
      </c>
      <c r="L372" s="1" t="s">
        <v>24</v>
      </c>
      <c r="M372" s="3" t="s">
        <v>55</v>
      </c>
      <c r="N372" s="1" t="str">
        <f>INDEX(Table3[#All], MATCH(Table13[[#This Row],[Dept_Id]], Table3[[#All],[Dept_Id]], 0), 1)</f>
        <v>Production</v>
      </c>
    </row>
    <row r="373" spans="1:14" x14ac:dyDescent="0.25">
      <c r="A373" s="2">
        <v>10223</v>
      </c>
      <c r="B373" s="1" t="s">
        <v>1306</v>
      </c>
      <c r="C373" s="1" t="s">
        <v>1307</v>
      </c>
      <c r="D373" s="1" t="s">
        <v>1308</v>
      </c>
      <c r="E373" s="1" t="s">
        <v>33</v>
      </c>
      <c r="F373" s="1" t="s">
        <v>1309</v>
      </c>
      <c r="G373" s="1">
        <v>1</v>
      </c>
      <c r="H373" s="1" t="s">
        <v>15</v>
      </c>
      <c r="I373" s="1">
        <v>0</v>
      </c>
      <c r="J373" s="1" t="s">
        <v>23</v>
      </c>
      <c r="K373" s="1">
        <v>62922</v>
      </c>
      <c r="L373" s="1" t="s">
        <v>17</v>
      </c>
      <c r="M373" s="3" t="s">
        <v>55</v>
      </c>
      <c r="N373" s="1" t="str">
        <f>INDEX(Table3[#All], MATCH(Table13[[#This Row],[Dept_Id]], Table3[[#All],[Dept_Id]], 0), 1)</f>
        <v>Development</v>
      </c>
    </row>
    <row r="374" spans="1:14" x14ac:dyDescent="0.25">
      <c r="A374" s="2">
        <v>98882</v>
      </c>
      <c r="B374" s="1" t="s">
        <v>1310</v>
      </c>
      <c r="C374" s="1" t="s">
        <v>284</v>
      </c>
      <c r="D374" s="1" t="s">
        <v>1311</v>
      </c>
      <c r="E374" s="1" t="s">
        <v>33</v>
      </c>
      <c r="F374" s="1" t="s">
        <v>1312</v>
      </c>
      <c r="G374" s="1">
        <v>1</v>
      </c>
      <c r="H374" s="1" t="s">
        <v>15</v>
      </c>
      <c r="I374" s="1">
        <v>0</v>
      </c>
      <c r="J374" s="1" t="s">
        <v>23</v>
      </c>
      <c r="K374" s="1">
        <v>40000</v>
      </c>
      <c r="L374" s="1" t="s">
        <v>17</v>
      </c>
      <c r="M374" s="3" t="s">
        <v>18</v>
      </c>
      <c r="N374" s="1" t="str">
        <f>INDEX(Table3[#All], MATCH(Table13[[#This Row],[Dept_Id]], Table3[[#All],[Dept_Id]], 0), 1)</f>
        <v>Development</v>
      </c>
    </row>
    <row r="375" spans="1:14" x14ac:dyDescent="0.25">
      <c r="A375" s="2">
        <v>10224</v>
      </c>
      <c r="B375" s="1" t="s">
        <v>1313</v>
      </c>
      <c r="C375" s="1" t="s">
        <v>1314</v>
      </c>
      <c r="D375" s="1" t="s">
        <v>1315</v>
      </c>
      <c r="E375" s="1" t="s">
        <v>13</v>
      </c>
      <c r="F375" s="1" t="s">
        <v>1316</v>
      </c>
      <c r="G375" s="1">
        <v>7</v>
      </c>
      <c r="H375" s="1" t="s">
        <v>29</v>
      </c>
      <c r="I375" s="1">
        <v>0</v>
      </c>
      <c r="J375" s="1" t="s">
        <v>23</v>
      </c>
      <c r="K375" s="1">
        <v>40000</v>
      </c>
      <c r="L375" s="1" t="s">
        <v>24</v>
      </c>
      <c r="M375" s="3" t="s">
        <v>18</v>
      </c>
      <c r="N375" s="1" t="str">
        <f>INDEX(Table3[#All], MATCH(Table13[[#This Row],[Dept_Id]], Table3[[#All],[Dept_Id]], 0), 1)</f>
        <v>Production</v>
      </c>
    </row>
    <row r="376" spans="1:14" x14ac:dyDescent="0.25">
      <c r="A376" s="2">
        <v>10225</v>
      </c>
      <c r="B376" s="1" t="s">
        <v>455</v>
      </c>
      <c r="C376" s="1" t="s">
        <v>1317</v>
      </c>
      <c r="D376" s="1" t="s">
        <v>1318</v>
      </c>
      <c r="E376" s="1" t="s">
        <v>33</v>
      </c>
      <c r="F376" s="1" t="s">
        <v>1319</v>
      </c>
      <c r="G376" s="1">
        <v>7</v>
      </c>
      <c r="H376" s="1" t="s">
        <v>15</v>
      </c>
      <c r="I376" s="1">
        <v>0</v>
      </c>
      <c r="J376" s="1" t="s">
        <v>23</v>
      </c>
      <c r="K376" s="1">
        <v>40000</v>
      </c>
      <c r="L376" s="1" t="s">
        <v>89</v>
      </c>
      <c r="M376" s="3" t="s">
        <v>41</v>
      </c>
      <c r="N376" s="1" t="str">
        <f>INDEX(Table3[#All], MATCH(Table13[[#This Row],[Dept_Id]], Table3[[#All],[Dept_Id]], 0), 1)</f>
        <v>Customer Service</v>
      </c>
    </row>
    <row r="377" spans="1:14" x14ac:dyDescent="0.25">
      <c r="A377" s="2">
        <v>42924</v>
      </c>
      <c r="B377" s="1" t="s">
        <v>722</v>
      </c>
      <c r="C377" s="1" t="s">
        <v>1320</v>
      </c>
      <c r="D377" s="1" t="s">
        <v>1321</v>
      </c>
      <c r="E377" s="1" t="s">
        <v>33</v>
      </c>
      <c r="F377" s="1" t="s">
        <v>1322</v>
      </c>
      <c r="G377" s="1">
        <v>8</v>
      </c>
      <c r="H377" s="1" t="s">
        <v>29</v>
      </c>
      <c r="I377" s="1">
        <v>0</v>
      </c>
      <c r="J377" s="1" t="s">
        <v>23</v>
      </c>
      <c r="K377" s="1">
        <v>40000</v>
      </c>
      <c r="L377" s="1" t="s">
        <v>24</v>
      </c>
      <c r="M377" s="3" t="s">
        <v>18</v>
      </c>
      <c r="N377" s="1" t="str">
        <f>INDEX(Table3[#All], MATCH(Table13[[#This Row],[Dept_Id]], Table3[[#All],[Dept_Id]], 0), 1)</f>
        <v>Production</v>
      </c>
    </row>
    <row r="378" spans="1:14" x14ac:dyDescent="0.25">
      <c r="A378" s="2">
        <v>10226</v>
      </c>
      <c r="B378" s="1" t="s">
        <v>1323</v>
      </c>
      <c r="C378" s="1" t="s">
        <v>550</v>
      </c>
      <c r="D378" s="1" t="s">
        <v>1324</v>
      </c>
      <c r="E378" s="1" t="s">
        <v>13</v>
      </c>
      <c r="F378" s="1" t="s">
        <v>1325</v>
      </c>
      <c r="G378" s="1">
        <v>2</v>
      </c>
      <c r="H378" s="1" t="s">
        <v>15</v>
      </c>
      <c r="I378" s="1">
        <v>0</v>
      </c>
      <c r="J378" s="1" t="s">
        <v>23</v>
      </c>
      <c r="K378" s="1">
        <v>79456</v>
      </c>
      <c r="L378" s="1" t="s">
        <v>40</v>
      </c>
      <c r="M378" s="3" t="s">
        <v>41</v>
      </c>
      <c r="N378" s="1" t="str">
        <f>INDEX(Table3[#All], MATCH(Table13[[#This Row],[Dept_Id]], Table3[[#All],[Dept_Id]], 0), 1)</f>
        <v>Sales</v>
      </c>
    </row>
    <row r="379" spans="1:14" x14ac:dyDescent="0.25">
      <c r="A379" s="2">
        <v>10227</v>
      </c>
      <c r="B379" s="1" t="s">
        <v>1326</v>
      </c>
      <c r="C379" s="1" t="s">
        <v>1327</v>
      </c>
      <c r="D379" s="1" t="s">
        <v>1328</v>
      </c>
      <c r="E379" s="1" t="s">
        <v>13</v>
      </c>
      <c r="F379" s="1" t="s">
        <v>1329</v>
      </c>
      <c r="G379" s="1">
        <v>4</v>
      </c>
      <c r="H379" s="1" t="s">
        <v>35</v>
      </c>
      <c r="I379" s="1">
        <v>0</v>
      </c>
      <c r="J379" s="1" t="s">
        <v>23</v>
      </c>
      <c r="K379" s="1">
        <v>53497</v>
      </c>
      <c r="L379" s="1" t="s">
        <v>17</v>
      </c>
      <c r="M379" s="3" t="s">
        <v>156</v>
      </c>
      <c r="N379" s="1" t="str">
        <f>INDEX(Table3[#All], MATCH(Table13[[#This Row],[Dept_Id]], Table3[[#All],[Dept_Id]], 0), 1)</f>
        <v>Development</v>
      </c>
    </row>
    <row r="380" spans="1:14" x14ac:dyDescent="0.25">
      <c r="A380" s="2">
        <v>78316</v>
      </c>
      <c r="B380" s="1" t="s">
        <v>1330</v>
      </c>
      <c r="C380" s="1" t="s">
        <v>1331</v>
      </c>
      <c r="D380" s="1" t="s">
        <v>1332</v>
      </c>
      <c r="E380" s="1" t="s">
        <v>13</v>
      </c>
      <c r="F380" s="1" t="s">
        <v>1333</v>
      </c>
      <c r="G380" s="1">
        <v>9</v>
      </c>
      <c r="H380" s="1" t="s">
        <v>35</v>
      </c>
      <c r="I380" s="1">
        <v>0</v>
      </c>
      <c r="J380" s="1" t="s">
        <v>23</v>
      </c>
      <c r="K380" s="1">
        <v>40000</v>
      </c>
      <c r="L380" s="1" t="s">
        <v>17</v>
      </c>
      <c r="M380" s="3" t="s">
        <v>156</v>
      </c>
      <c r="N380" s="1" t="str">
        <f>INDEX(Table3[#All], MATCH(Table13[[#This Row],[Dept_Id]], Table3[[#All],[Dept_Id]], 0), 1)</f>
        <v>Development</v>
      </c>
    </row>
    <row r="381" spans="1:14" x14ac:dyDescent="0.25">
      <c r="A381" s="2">
        <v>10228</v>
      </c>
      <c r="B381" s="1" t="s">
        <v>622</v>
      </c>
      <c r="C381" s="1" t="s">
        <v>615</v>
      </c>
      <c r="D381" s="1" t="s">
        <v>1334</v>
      </c>
      <c r="E381" s="1" t="s">
        <v>33</v>
      </c>
      <c r="F381" s="1" t="s">
        <v>1335</v>
      </c>
      <c r="G381" s="1">
        <v>8</v>
      </c>
      <c r="H381" s="1" t="s">
        <v>35</v>
      </c>
      <c r="I381" s="1">
        <v>0</v>
      </c>
      <c r="J381" s="1" t="s">
        <v>23</v>
      </c>
      <c r="K381" s="1">
        <v>79474</v>
      </c>
      <c r="L381" s="1" t="s">
        <v>125</v>
      </c>
      <c r="M381" s="3" t="s">
        <v>41</v>
      </c>
      <c r="N381" s="1" t="str">
        <f>INDEX(Table3[#All], MATCH(Table13[[#This Row],[Dept_Id]], Table3[[#All],[Dept_Id]], 0), 1)</f>
        <v>Marketing</v>
      </c>
    </row>
    <row r="382" spans="1:14" x14ac:dyDescent="0.25">
      <c r="A382" s="2">
        <v>10228</v>
      </c>
      <c r="B382" s="1" t="s">
        <v>622</v>
      </c>
      <c r="C382" s="1" t="s">
        <v>615</v>
      </c>
      <c r="D382" s="1" t="s">
        <v>1334</v>
      </c>
      <c r="E382" s="1" t="s">
        <v>33</v>
      </c>
      <c r="F382" s="1" t="s">
        <v>1335</v>
      </c>
      <c r="G382" s="1">
        <v>8</v>
      </c>
      <c r="H382" s="1" t="s">
        <v>35</v>
      </c>
      <c r="I382" s="1">
        <v>0</v>
      </c>
      <c r="J382" s="1" t="s">
        <v>23</v>
      </c>
      <c r="K382" s="1">
        <v>79474</v>
      </c>
      <c r="L382" s="1" t="s">
        <v>40</v>
      </c>
      <c r="M382" s="3" t="s">
        <v>41</v>
      </c>
      <c r="N382" s="1" t="str">
        <f>INDEX(Table3[#All], MATCH(Table13[[#This Row],[Dept_Id]], Table3[[#All],[Dept_Id]], 0), 1)</f>
        <v>Sales</v>
      </c>
    </row>
    <row r="383" spans="1:14" x14ac:dyDescent="0.25">
      <c r="A383" s="2">
        <v>430484</v>
      </c>
      <c r="B383" s="1" t="s">
        <v>1336</v>
      </c>
      <c r="C383" s="1" t="s">
        <v>381</v>
      </c>
      <c r="D383" s="1" t="s">
        <v>1337</v>
      </c>
      <c r="E383" s="1" t="s">
        <v>33</v>
      </c>
      <c r="F383" s="1" t="s">
        <v>1338</v>
      </c>
      <c r="G383" s="1">
        <v>5</v>
      </c>
      <c r="H383" s="1" t="s">
        <v>35</v>
      </c>
      <c r="I383" s="1">
        <v>0</v>
      </c>
      <c r="J383" s="1" t="s">
        <v>23</v>
      </c>
      <c r="K383" s="1">
        <v>40000</v>
      </c>
      <c r="L383" s="1" t="s">
        <v>24</v>
      </c>
      <c r="M383" s="3" t="s">
        <v>18</v>
      </c>
      <c r="N383" s="1" t="str">
        <f>INDEX(Table3[#All], MATCH(Table13[[#This Row],[Dept_Id]], Table3[[#All],[Dept_Id]], 0), 1)</f>
        <v>Production</v>
      </c>
    </row>
    <row r="384" spans="1:14" x14ac:dyDescent="0.25">
      <c r="A384" s="2">
        <v>10229</v>
      </c>
      <c r="B384" s="1" t="s">
        <v>1339</v>
      </c>
      <c r="C384" s="1" t="s">
        <v>1340</v>
      </c>
      <c r="D384" s="1" t="s">
        <v>1341</v>
      </c>
      <c r="E384" s="1" t="s">
        <v>13</v>
      </c>
      <c r="F384" s="1" t="s">
        <v>692</v>
      </c>
      <c r="G384" s="1">
        <v>7</v>
      </c>
      <c r="H384" s="1" t="s">
        <v>35</v>
      </c>
      <c r="I384" s="1">
        <v>1</v>
      </c>
      <c r="J384" s="1" t="s">
        <v>1342</v>
      </c>
      <c r="K384" s="1">
        <v>58321</v>
      </c>
      <c r="L384" s="1" t="s">
        <v>71</v>
      </c>
      <c r="M384" s="3" t="s">
        <v>55</v>
      </c>
      <c r="N384" s="1" t="str">
        <f>INDEX(Table3[#All], MATCH(Table13[[#This Row],[Dept_Id]], Table3[[#All],[Dept_Id]], 0), 1)</f>
        <v>Quality Management</v>
      </c>
    </row>
    <row r="385" spans="1:14" x14ac:dyDescent="0.25">
      <c r="A385" s="2">
        <v>10230</v>
      </c>
      <c r="B385" s="1" t="s">
        <v>1343</v>
      </c>
      <c r="C385" s="1" t="s">
        <v>1344</v>
      </c>
      <c r="D385" s="1" t="s">
        <v>1345</v>
      </c>
      <c r="E385" s="1" t="s">
        <v>13</v>
      </c>
      <c r="F385" s="1" t="s">
        <v>1346</v>
      </c>
      <c r="G385" s="1">
        <v>7</v>
      </c>
      <c r="H385" s="1" t="s">
        <v>35</v>
      </c>
      <c r="I385" s="1">
        <v>0</v>
      </c>
      <c r="J385" s="1" t="s">
        <v>23</v>
      </c>
      <c r="K385" s="1">
        <v>47531</v>
      </c>
      <c r="L385" s="1" t="s">
        <v>61</v>
      </c>
      <c r="M385" s="3" t="s">
        <v>41</v>
      </c>
      <c r="N385" s="1" t="str">
        <f>INDEX(Table3[#All], MATCH(Table13[[#This Row],[Dept_Id]], Table3[[#All],[Dept_Id]], 0), 1)</f>
        <v>Research</v>
      </c>
    </row>
    <row r="386" spans="1:14" x14ac:dyDescent="0.25">
      <c r="A386" s="2">
        <v>401368</v>
      </c>
      <c r="B386" s="1" t="s">
        <v>1297</v>
      </c>
      <c r="C386" s="1" t="s">
        <v>1347</v>
      </c>
      <c r="D386" s="1" t="s">
        <v>897</v>
      </c>
      <c r="E386" s="1" t="s">
        <v>13</v>
      </c>
      <c r="F386" s="1" t="s">
        <v>1348</v>
      </c>
      <c r="G386" s="1">
        <v>10</v>
      </c>
      <c r="H386" s="1" t="s">
        <v>15</v>
      </c>
      <c r="I386" s="1">
        <v>0</v>
      </c>
      <c r="J386" s="1" t="s">
        <v>23</v>
      </c>
      <c r="K386" s="1">
        <v>40000</v>
      </c>
      <c r="L386" s="1" t="s">
        <v>17</v>
      </c>
      <c r="M386" s="3" t="s">
        <v>55</v>
      </c>
      <c r="N386" s="1" t="str">
        <f>INDEX(Table3[#All], MATCH(Table13[[#This Row],[Dept_Id]], Table3[[#All],[Dept_Id]], 0), 1)</f>
        <v>Development</v>
      </c>
    </row>
    <row r="387" spans="1:14" x14ac:dyDescent="0.25">
      <c r="A387" s="2">
        <v>10231</v>
      </c>
      <c r="B387" s="1" t="s">
        <v>1349</v>
      </c>
      <c r="C387" s="1" t="s">
        <v>563</v>
      </c>
      <c r="D387" s="1" t="s">
        <v>584</v>
      </c>
      <c r="E387" s="1" t="s">
        <v>33</v>
      </c>
      <c r="F387" s="1" t="s">
        <v>1350</v>
      </c>
      <c r="G387" s="1">
        <v>7</v>
      </c>
      <c r="H387" s="1" t="s">
        <v>35</v>
      </c>
      <c r="I387" s="1">
        <v>0</v>
      </c>
      <c r="J387" s="1" t="s">
        <v>23</v>
      </c>
      <c r="K387" s="1">
        <v>40000</v>
      </c>
      <c r="L387" s="1" t="s">
        <v>89</v>
      </c>
      <c r="M387" s="3" t="s">
        <v>41</v>
      </c>
      <c r="N387" s="1" t="str">
        <f>INDEX(Table3[#All], MATCH(Table13[[#This Row],[Dept_Id]], Table3[[#All],[Dept_Id]], 0), 1)</f>
        <v>Customer Service</v>
      </c>
    </row>
    <row r="388" spans="1:14" x14ac:dyDescent="0.25">
      <c r="A388" s="2">
        <v>10232</v>
      </c>
      <c r="B388" s="1" t="s">
        <v>1351</v>
      </c>
      <c r="C388" s="1" t="s">
        <v>1352</v>
      </c>
      <c r="D388" s="1" t="s">
        <v>857</v>
      </c>
      <c r="E388" s="1" t="s">
        <v>33</v>
      </c>
      <c r="F388" s="1" t="s">
        <v>1353</v>
      </c>
      <c r="G388" s="1">
        <v>9</v>
      </c>
      <c r="H388" s="1" t="s">
        <v>29</v>
      </c>
      <c r="I388" s="1">
        <v>1</v>
      </c>
      <c r="J388" s="1" t="s">
        <v>1354</v>
      </c>
      <c r="K388" s="1">
        <v>89606</v>
      </c>
      <c r="L388" s="1" t="s">
        <v>40</v>
      </c>
      <c r="M388" s="3" t="s">
        <v>41</v>
      </c>
      <c r="N388" s="1" t="str">
        <f>INDEX(Table3[#All], MATCH(Table13[[#This Row],[Dept_Id]], Table3[[#All],[Dept_Id]], 0), 1)</f>
        <v>Sales</v>
      </c>
    </row>
    <row r="389" spans="1:14" x14ac:dyDescent="0.25">
      <c r="A389" s="2">
        <v>211383</v>
      </c>
      <c r="B389" s="1" t="s">
        <v>1355</v>
      </c>
      <c r="C389" s="1" t="s">
        <v>1356</v>
      </c>
      <c r="D389" s="1" t="s">
        <v>1357</v>
      </c>
      <c r="E389" s="1" t="s">
        <v>13</v>
      </c>
      <c r="F389" s="1" t="s">
        <v>1358</v>
      </c>
      <c r="G389" s="1">
        <v>9</v>
      </c>
      <c r="H389" s="1" t="s">
        <v>29</v>
      </c>
      <c r="I389" s="1">
        <v>0</v>
      </c>
      <c r="J389" s="1" t="s">
        <v>23</v>
      </c>
      <c r="K389" s="1">
        <v>54215</v>
      </c>
      <c r="L389" s="1" t="s">
        <v>125</v>
      </c>
      <c r="M389" s="3" t="s">
        <v>41</v>
      </c>
      <c r="N389" s="1" t="str">
        <f>INDEX(Table3[#All], MATCH(Table13[[#This Row],[Dept_Id]], Table3[[#All],[Dept_Id]], 0), 1)</f>
        <v>Marketing</v>
      </c>
    </row>
    <row r="390" spans="1:14" x14ac:dyDescent="0.25">
      <c r="A390" s="2">
        <v>211383</v>
      </c>
      <c r="B390" s="1" t="s">
        <v>1355</v>
      </c>
      <c r="C390" s="1" t="s">
        <v>1356</v>
      </c>
      <c r="D390" s="1" t="s">
        <v>1357</v>
      </c>
      <c r="E390" s="1" t="s">
        <v>13</v>
      </c>
      <c r="F390" s="1" t="s">
        <v>1358</v>
      </c>
      <c r="G390" s="1">
        <v>9</v>
      </c>
      <c r="H390" s="1" t="s">
        <v>29</v>
      </c>
      <c r="I390" s="1">
        <v>0</v>
      </c>
      <c r="J390" s="1" t="s">
        <v>23</v>
      </c>
      <c r="K390" s="1">
        <v>54215</v>
      </c>
      <c r="L390" s="1" t="s">
        <v>40</v>
      </c>
      <c r="M390" s="3" t="s">
        <v>41</v>
      </c>
      <c r="N390" s="1" t="str">
        <f>INDEX(Table3[#All], MATCH(Table13[[#This Row],[Dept_Id]], Table3[[#All],[Dept_Id]], 0), 1)</f>
        <v>Sales</v>
      </c>
    </row>
    <row r="391" spans="1:14" x14ac:dyDescent="0.25">
      <c r="A391" s="2">
        <v>10233</v>
      </c>
      <c r="B391" s="1" t="s">
        <v>1359</v>
      </c>
      <c r="C391" s="1" t="s">
        <v>1360</v>
      </c>
      <c r="D391" s="1" t="s">
        <v>1361</v>
      </c>
      <c r="E391" s="1" t="s">
        <v>33</v>
      </c>
      <c r="F391" s="1" t="s">
        <v>1362</v>
      </c>
      <c r="G391" s="1">
        <v>1</v>
      </c>
      <c r="H391" s="1" t="s">
        <v>15</v>
      </c>
      <c r="I391" s="1">
        <v>0</v>
      </c>
      <c r="J391" s="1" t="s">
        <v>23</v>
      </c>
      <c r="K391" s="1">
        <v>40000</v>
      </c>
      <c r="L391" s="1" t="s">
        <v>46</v>
      </c>
      <c r="M391" s="3" t="s">
        <v>41</v>
      </c>
      <c r="N391" s="1" t="str">
        <f>INDEX(Table3[#All], MATCH(Table13[[#This Row],[Dept_Id]], Table3[[#All],[Dept_Id]], 0), 1)</f>
        <v>Human Resources</v>
      </c>
    </row>
    <row r="392" spans="1:14" x14ac:dyDescent="0.25">
      <c r="A392" s="2">
        <v>10234</v>
      </c>
      <c r="B392" s="1" t="s">
        <v>1363</v>
      </c>
      <c r="C392" s="1" t="s">
        <v>1364</v>
      </c>
      <c r="D392" s="1" t="s">
        <v>402</v>
      </c>
      <c r="E392" s="1" t="s">
        <v>13</v>
      </c>
      <c r="F392" s="1" t="s">
        <v>1365</v>
      </c>
      <c r="G392" s="1">
        <v>10</v>
      </c>
      <c r="H392" s="1" t="s">
        <v>35</v>
      </c>
      <c r="I392" s="1">
        <v>0</v>
      </c>
      <c r="J392" s="1" t="s">
        <v>23</v>
      </c>
      <c r="K392" s="1">
        <v>84584</v>
      </c>
      <c r="L392" s="1" t="s">
        <v>40</v>
      </c>
      <c r="M392" s="3" t="s">
        <v>41</v>
      </c>
      <c r="N392" s="1" t="str">
        <f>INDEX(Table3[#All], MATCH(Table13[[#This Row],[Dept_Id]], Table3[[#All],[Dept_Id]], 0), 1)</f>
        <v>Sales</v>
      </c>
    </row>
    <row r="393" spans="1:14" x14ac:dyDescent="0.25">
      <c r="A393" s="2">
        <v>452859</v>
      </c>
      <c r="B393" s="1" t="s">
        <v>1366</v>
      </c>
      <c r="C393" s="1" t="s">
        <v>1367</v>
      </c>
      <c r="D393" s="1" t="s">
        <v>1368</v>
      </c>
      <c r="E393" s="1" t="s">
        <v>13</v>
      </c>
      <c r="F393" s="1" t="s">
        <v>1369</v>
      </c>
      <c r="G393" s="1">
        <v>2</v>
      </c>
      <c r="H393" s="1" t="s">
        <v>35</v>
      </c>
      <c r="I393" s="1">
        <v>0</v>
      </c>
      <c r="J393" s="1" t="s">
        <v>23</v>
      </c>
      <c r="K393" s="1">
        <v>57777</v>
      </c>
      <c r="L393" s="1" t="s">
        <v>125</v>
      </c>
      <c r="M393" s="3" t="s">
        <v>41</v>
      </c>
      <c r="N393" s="1" t="str">
        <f>INDEX(Table3[#All], MATCH(Table13[[#This Row],[Dept_Id]], Table3[[#All],[Dept_Id]], 0), 1)</f>
        <v>Marketing</v>
      </c>
    </row>
    <row r="394" spans="1:14" x14ac:dyDescent="0.25">
      <c r="A394" s="2">
        <v>10235</v>
      </c>
      <c r="B394" s="1" t="s">
        <v>1370</v>
      </c>
      <c r="C394" s="1" t="s">
        <v>1371</v>
      </c>
      <c r="D394" s="1" t="s">
        <v>1372</v>
      </c>
      <c r="E394" s="1" t="s">
        <v>33</v>
      </c>
      <c r="F394" s="1" t="s">
        <v>1373</v>
      </c>
      <c r="G394" s="1">
        <v>8</v>
      </c>
      <c r="H394" s="1" t="s">
        <v>29</v>
      </c>
      <c r="I394" s="1">
        <v>1</v>
      </c>
      <c r="J394" s="1" t="s">
        <v>1374</v>
      </c>
      <c r="K394" s="1">
        <v>41941</v>
      </c>
      <c r="L394" s="1" t="s">
        <v>24</v>
      </c>
      <c r="M394" s="3" t="s">
        <v>18</v>
      </c>
      <c r="N394" s="1" t="str">
        <f>INDEX(Table3[#All], MATCH(Table13[[#This Row],[Dept_Id]], Table3[[#All],[Dept_Id]], 0), 1)</f>
        <v>Production</v>
      </c>
    </row>
    <row r="395" spans="1:14" x14ac:dyDescent="0.25">
      <c r="A395" s="2">
        <v>10236</v>
      </c>
      <c r="B395" s="1" t="s">
        <v>735</v>
      </c>
      <c r="C395" s="1" t="s">
        <v>1375</v>
      </c>
      <c r="D395" s="1" t="s">
        <v>1376</v>
      </c>
      <c r="E395" s="1" t="s">
        <v>33</v>
      </c>
      <c r="F395" s="1" t="s">
        <v>1377</v>
      </c>
      <c r="G395" s="1">
        <v>10</v>
      </c>
      <c r="H395" s="1" t="s">
        <v>15</v>
      </c>
      <c r="I395" s="1">
        <v>0</v>
      </c>
      <c r="J395" s="1" t="s">
        <v>23</v>
      </c>
      <c r="K395" s="1">
        <v>80469</v>
      </c>
      <c r="L395" s="1" t="s">
        <v>40</v>
      </c>
      <c r="M395" s="3" t="s">
        <v>41</v>
      </c>
      <c r="N395" s="1" t="str">
        <f>INDEX(Table3[#All], MATCH(Table13[[#This Row],[Dept_Id]], Table3[[#All],[Dept_Id]], 0), 1)</f>
        <v>Sales</v>
      </c>
    </row>
    <row r="396" spans="1:14" x14ac:dyDescent="0.25">
      <c r="A396" s="2">
        <v>11842</v>
      </c>
      <c r="B396" s="1" t="s">
        <v>1378</v>
      </c>
      <c r="C396" s="1" t="s">
        <v>1379</v>
      </c>
      <c r="D396" s="1" t="s">
        <v>1380</v>
      </c>
      <c r="E396" s="1" t="s">
        <v>13</v>
      </c>
      <c r="F396" s="1" t="s">
        <v>1381</v>
      </c>
      <c r="G396" s="1">
        <v>9</v>
      </c>
      <c r="H396" s="1" t="s">
        <v>29</v>
      </c>
      <c r="I396" s="1">
        <v>0</v>
      </c>
      <c r="J396" s="1" t="s">
        <v>23</v>
      </c>
      <c r="K396" s="1">
        <v>40000</v>
      </c>
      <c r="L396" s="1" t="s">
        <v>61</v>
      </c>
      <c r="M396" s="3" t="s">
        <v>41</v>
      </c>
      <c r="N396" s="1" t="str">
        <f>INDEX(Table3[#All], MATCH(Table13[[#This Row],[Dept_Id]], Table3[[#All],[Dept_Id]], 0), 1)</f>
        <v>Research</v>
      </c>
    </row>
    <row r="397" spans="1:14" x14ac:dyDescent="0.25">
      <c r="A397" s="2">
        <v>10237</v>
      </c>
      <c r="B397" s="1" t="s">
        <v>1382</v>
      </c>
      <c r="C397" s="1" t="s">
        <v>1383</v>
      </c>
      <c r="D397" s="1" t="s">
        <v>604</v>
      </c>
      <c r="E397" s="1" t="s">
        <v>33</v>
      </c>
      <c r="F397" s="1" t="s">
        <v>1384</v>
      </c>
      <c r="G397" s="1">
        <v>5</v>
      </c>
      <c r="H397" s="1" t="s">
        <v>35</v>
      </c>
      <c r="I397" s="1">
        <v>0</v>
      </c>
      <c r="J397" s="1" t="s">
        <v>23</v>
      </c>
      <c r="K397" s="1">
        <v>100715</v>
      </c>
      <c r="L397" s="1" t="s">
        <v>40</v>
      </c>
      <c r="M397" s="3" t="s">
        <v>41</v>
      </c>
      <c r="N397" s="1" t="str">
        <f>INDEX(Table3[#All], MATCH(Table13[[#This Row],[Dept_Id]], Table3[[#All],[Dept_Id]], 0), 1)</f>
        <v>Sales</v>
      </c>
    </row>
    <row r="398" spans="1:14" x14ac:dyDescent="0.25">
      <c r="A398" s="2">
        <v>10238</v>
      </c>
      <c r="B398" s="1" t="s">
        <v>1385</v>
      </c>
      <c r="C398" s="1" t="s">
        <v>1386</v>
      </c>
      <c r="D398" s="1" t="s">
        <v>1387</v>
      </c>
      <c r="E398" s="1" t="s">
        <v>33</v>
      </c>
      <c r="F398" s="1" t="s">
        <v>1388</v>
      </c>
      <c r="G398" s="1">
        <v>4</v>
      </c>
      <c r="H398" s="1" t="s">
        <v>29</v>
      </c>
      <c r="I398" s="1">
        <v>0</v>
      </c>
      <c r="J398" s="1" t="s">
        <v>23</v>
      </c>
      <c r="K398" s="1">
        <v>52764</v>
      </c>
      <c r="L398" s="1" t="s">
        <v>17</v>
      </c>
      <c r="M398" s="3" t="s">
        <v>55</v>
      </c>
      <c r="N398" s="1" t="str">
        <f>INDEX(Table3[#All], MATCH(Table13[[#This Row],[Dept_Id]], Table3[[#All],[Dept_Id]], 0), 1)</f>
        <v>Development</v>
      </c>
    </row>
    <row r="399" spans="1:14" x14ac:dyDescent="0.25">
      <c r="A399" s="2">
        <v>10238</v>
      </c>
      <c r="B399" s="1" t="s">
        <v>1385</v>
      </c>
      <c r="C399" s="1" t="s">
        <v>1386</v>
      </c>
      <c r="D399" s="1" t="s">
        <v>1387</v>
      </c>
      <c r="E399" s="1" t="s">
        <v>33</v>
      </c>
      <c r="F399" s="1" t="s">
        <v>1388</v>
      </c>
      <c r="G399" s="1">
        <v>4</v>
      </c>
      <c r="H399" s="1" t="s">
        <v>29</v>
      </c>
      <c r="I399" s="1">
        <v>0</v>
      </c>
      <c r="J399" s="1" t="s">
        <v>23</v>
      </c>
      <c r="K399" s="1">
        <v>52764</v>
      </c>
      <c r="L399" s="1" t="s">
        <v>61</v>
      </c>
      <c r="M399" s="3" t="s">
        <v>55</v>
      </c>
      <c r="N399" s="1" t="str">
        <f>INDEX(Table3[#All], MATCH(Table13[[#This Row],[Dept_Id]], Table3[[#All],[Dept_Id]], 0), 1)</f>
        <v>Research</v>
      </c>
    </row>
    <row r="400" spans="1:14" x14ac:dyDescent="0.25">
      <c r="A400" s="2">
        <v>439095</v>
      </c>
      <c r="B400" s="1" t="s">
        <v>1389</v>
      </c>
      <c r="C400" s="1" t="s">
        <v>828</v>
      </c>
      <c r="D400" s="1" t="s">
        <v>956</v>
      </c>
      <c r="E400" s="1" t="s">
        <v>13</v>
      </c>
      <c r="F400" s="1" t="s">
        <v>1390</v>
      </c>
      <c r="G400" s="1">
        <v>3</v>
      </c>
      <c r="H400" s="1" t="s">
        <v>35</v>
      </c>
      <c r="I400" s="1">
        <v>0</v>
      </c>
      <c r="J400" s="1" t="s">
        <v>23</v>
      </c>
      <c r="K400" s="1">
        <v>72075</v>
      </c>
      <c r="L400" s="1" t="s">
        <v>125</v>
      </c>
      <c r="M400" s="3" t="s">
        <v>41</v>
      </c>
      <c r="N400" s="1" t="str">
        <f>INDEX(Table3[#All], MATCH(Table13[[#This Row],[Dept_Id]], Table3[[#All],[Dept_Id]], 0), 1)</f>
        <v>Marketing</v>
      </c>
    </row>
    <row r="401" spans="1:14" x14ac:dyDescent="0.25">
      <c r="A401" s="2">
        <v>10239</v>
      </c>
      <c r="B401" s="1" t="s">
        <v>1391</v>
      </c>
      <c r="C401" s="1" t="s">
        <v>1392</v>
      </c>
      <c r="D401" s="1" t="s">
        <v>1393</v>
      </c>
      <c r="E401" s="1" t="s">
        <v>33</v>
      </c>
      <c r="F401" s="1" t="s">
        <v>264</v>
      </c>
      <c r="G401" s="1">
        <v>2</v>
      </c>
      <c r="H401" s="1" t="s">
        <v>35</v>
      </c>
      <c r="I401" s="1">
        <v>0</v>
      </c>
      <c r="J401" s="1" t="s">
        <v>23</v>
      </c>
      <c r="K401" s="1">
        <v>65146</v>
      </c>
      <c r="L401" s="1" t="s">
        <v>125</v>
      </c>
      <c r="M401" s="3" t="s">
        <v>41</v>
      </c>
      <c r="N401" s="1" t="str">
        <f>INDEX(Table3[#All], MATCH(Table13[[#This Row],[Dept_Id]], Table3[[#All],[Dept_Id]], 0), 1)</f>
        <v>Marketing</v>
      </c>
    </row>
    <row r="402" spans="1:14" x14ac:dyDescent="0.25">
      <c r="A402" s="2">
        <v>427027</v>
      </c>
      <c r="B402" s="1" t="s">
        <v>1394</v>
      </c>
      <c r="C402" s="1" t="s">
        <v>95</v>
      </c>
      <c r="D402" s="1" t="s">
        <v>1395</v>
      </c>
      <c r="E402" s="1" t="s">
        <v>13</v>
      </c>
      <c r="F402" s="1" t="s">
        <v>1396</v>
      </c>
      <c r="G402" s="1">
        <v>8</v>
      </c>
      <c r="H402" s="1" t="s">
        <v>29</v>
      </c>
      <c r="I402" s="1">
        <v>0</v>
      </c>
      <c r="J402" s="1" t="s">
        <v>23</v>
      </c>
      <c r="K402" s="1">
        <v>40000</v>
      </c>
      <c r="L402" s="1" t="s">
        <v>89</v>
      </c>
      <c r="M402" s="3" t="s">
        <v>41</v>
      </c>
      <c r="N402" s="1" t="str">
        <f>INDEX(Table3[#All], MATCH(Table13[[#This Row],[Dept_Id]], Table3[[#All],[Dept_Id]], 0), 1)</f>
        <v>Customer Service</v>
      </c>
    </row>
    <row r="403" spans="1:14" x14ac:dyDescent="0.25">
      <c r="A403" s="2">
        <v>10240</v>
      </c>
      <c r="B403" s="1" t="s">
        <v>1397</v>
      </c>
      <c r="C403" s="1" t="s">
        <v>1398</v>
      </c>
      <c r="D403" s="1" t="s">
        <v>1399</v>
      </c>
      <c r="E403" s="1" t="s">
        <v>13</v>
      </c>
      <c r="F403" s="1" t="s">
        <v>1400</v>
      </c>
      <c r="G403" s="1">
        <v>9</v>
      </c>
      <c r="H403" s="1" t="s">
        <v>29</v>
      </c>
      <c r="I403" s="1">
        <v>0</v>
      </c>
      <c r="J403" s="1" t="s">
        <v>23</v>
      </c>
      <c r="K403" s="1">
        <v>73874</v>
      </c>
      <c r="L403" s="1" t="s">
        <v>71</v>
      </c>
      <c r="M403" s="3" t="s">
        <v>55</v>
      </c>
      <c r="N403" s="1" t="str">
        <f>INDEX(Table3[#All], MATCH(Table13[[#This Row],[Dept_Id]], Table3[[#All],[Dept_Id]], 0), 1)</f>
        <v>Quality Management</v>
      </c>
    </row>
    <row r="404" spans="1:14" x14ac:dyDescent="0.25">
      <c r="A404" s="2">
        <v>10241</v>
      </c>
      <c r="B404" s="1" t="s">
        <v>1401</v>
      </c>
      <c r="C404" s="1" t="s">
        <v>1402</v>
      </c>
      <c r="D404" s="1" t="s">
        <v>1403</v>
      </c>
      <c r="E404" s="1" t="s">
        <v>13</v>
      </c>
      <c r="F404" s="1" t="s">
        <v>1404</v>
      </c>
      <c r="G404" s="1">
        <v>2</v>
      </c>
      <c r="H404" s="1" t="s">
        <v>35</v>
      </c>
      <c r="I404" s="1">
        <v>0</v>
      </c>
      <c r="J404" s="1" t="s">
        <v>23</v>
      </c>
      <c r="K404" s="1">
        <v>40000</v>
      </c>
      <c r="L404" s="1" t="s">
        <v>108</v>
      </c>
      <c r="M404" s="3" t="s">
        <v>41</v>
      </c>
      <c r="N404" s="1" t="str">
        <f>INDEX(Table3[#All], MATCH(Table13[[#This Row],[Dept_Id]], Table3[[#All],[Dept_Id]], 0), 1)</f>
        <v>Finance</v>
      </c>
    </row>
    <row r="405" spans="1:14" x14ac:dyDescent="0.25">
      <c r="A405" s="2">
        <v>10242</v>
      </c>
      <c r="B405" s="1" t="s">
        <v>1405</v>
      </c>
      <c r="C405" s="1" t="s">
        <v>667</v>
      </c>
      <c r="D405" s="1" t="s">
        <v>1406</v>
      </c>
      <c r="E405" s="1" t="s">
        <v>13</v>
      </c>
      <c r="F405" s="1" t="s">
        <v>1407</v>
      </c>
      <c r="G405" s="1">
        <v>4</v>
      </c>
      <c r="H405" s="1" t="s">
        <v>29</v>
      </c>
      <c r="I405" s="1">
        <v>0</v>
      </c>
      <c r="J405" s="1" t="s">
        <v>23</v>
      </c>
      <c r="K405" s="1">
        <v>40000</v>
      </c>
      <c r="L405" s="1" t="s">
        <v>24</v>
      </c>
      <c r="M405" s="3" t="s">
        <v>18</v>
      </c>
      <c r="N405" s="1" t="str">
        <f>INDEX(Table3[#All], MATCH(Table13[[#This Row],[Dept_Id]], Table3[[#All],[Dept_Id]], 0), 1)</f>
        <v>Production</v>
      </c>
    </row>
    <row r="406" spans="1:14" x14ac:dyDescent="0.25">
      <c r="A406" s="2">
        <v>10243</v>
      </c>
      <c r="B406" s="1" t="s">
        <v>1408</v>
      </c>
      <c r="C406" s="1" t="s">
        <v>336</v>
      </c>
      <c r="D406" s="1" t="s">
        <v>1409</v>
      </c>
      <c r="E406" s="1" t="s">
        <v>13</v>
      </c>
      <c r="F406" s="1" t="s">
        <v>1410</v>
      </c>
      <c r="G406" s="1">
        <v>2</v>
      </c>
      <c r="H406" s="1" t="s">
        <v>29</v>
      </c>
      <c r="I406" s="1">
        <v>0</v>
      </c>
      <c r="J406" s="1" t="s">
        <v>23</v>
      </c>
      <c r="K406" s="1">
        <v>59332</v>
      </c>
      <c r="L406" s="1" t="s">
        <v>40</v>
      </c>
      <c r="M406" s="3" t="s">
        <v>102</v>
      </c>
      <c r="N406" s="1" t="str">
        <f>INDEX(Table3[#All], MATCH(Table13[[#This Row],[Dept_Id]], Table3[[#All],[Dept_Id]], 0), 1)</f>
        <v>Sales</v>
      </c>
    </row>
    <row r="407" spans="1:14" x14ac:dyDescent="0.25">
      <c r="A407" s="2">
        <v>219797</v>
      </c>
      <c r="B407" s="1" t="s">
        <v>1411</v>
      </c>
      <c r="C407" s="1" t="s">
        <v>1412</v>
      </c>
      <c r="D407" s="1" t="s">
        <v>211</v>
      </c>
      <c r="E407" s="1" t="s">
        <v>13</v>
      </c>
      <c r="F407" s="1" t="s">
        <v>1413</v>
      </c>
      <c r="G407" s="1">
        <v>4</v>
      </c>
      <c r="H407" s="1" t="s">
        <v>15</v>
      </c>
      <c r="I407" s="1">
        <v>0</v>
      </c>
      <c r="J407" s="1" t="s">
        <v>23</v>
      </c>
      <c r="K407" s="1">
        <v>40000</v>
      </c>
      <c r="L407" s="1" t="s">
        <v>40</v>
      </c>
      <c r="M407" s="3" t="s">
        <v>41</v>
      </c>
      <c r="N407" s="1" t="str">
        <f>INDEX(Table3[#All], MATCH(Table13[[#This Row],[Dept_Id]], Table3[[#All],[Dept_Id]], 0), 1)</f>
        <v>Sales</v>
      </c>
    </row>
    <row r="408" spans="1:14" x14ac:dyDescent="0.25">
      <c r="A408" s="2">
        <v>10244</v>
      </c>
      <c r="B408" s="1" t="s">
        <v>722</v>
      </c>
      <c r="C408" s="1" t="s">
        <v>853</v>
      </c>
      <c r="D408" s="1" t="s">
        <v>560</v>
      </c>
      <c r="E408" s="1" t="s">
        <v>13</v>
      </c>
      <c r="F408" s="1" t="s">
        <v>1414</v>
      </c>
      <c r="G408" s="1">
        <v>8</v>
      </c>
      <c r="H408" s="1" t="s">
        <v>15</v>
      </c>
      <c r="I408" s="1">
        <v>0</v>
      </c>
      <c r="J408" s="1" t="s">
        <v>23</v>
      </c>
      <c r="K408" s="1">
        <v>56292</v>
      </c>
      <c r="L408" s="1" t="s">
        <v>17</v>
      </c>
      <c r="M408" s="3" t="s">
        <v>55</v>
      </c>
      <c r="N408" s="1" t="str">
        <f>INDEX(Table3[#All], MATCH(Table13[[#This Row],[Dept_Id]], Table3[[#All],[Dept_Id]], 0), 1)</f>
        <v>Development</v>
      </c>
    </row>
    <row r="409" spans="1:14" x14ac:dyDescent="0.25">
      <c r="A409" s="2">
        <v>10245</v>
      </c>
      <c r="B409" s="1" t="s">
        <v>1415</v>
      </c>
      <c r="C409" s="1" t="s">
        <v>1416</v>
      </c>
      <c r="D409" s="1" t="s">
        <v>1417</v>
      </c>
      <c r="E409" s="1" t="s">
        <v>33</v>
      </c>
      <c r="F409" s="1" t="s">
        <v>1418</v>
      </c>
      <c r="G409" s="1">
        <v>1</v>
      </c>
      <c r="H409" s="1" t="s">
        <v>35</v>
      </c>
      <c r="I409" s="1">
        <v>0</v>
      </c>
      <c r="J409" s="1" t="s">
        <v>23</v>
      </c>
      <c r="K409" s="1">
        <v>40000</v>
      </c>
      <c r="L409" s="1" t="s">
        <v>61</v>
      </c>
      <c r="M409" s="3" t="s">
        <v>41</v>
      </c>
      <c r="N409" s="1" t="str">
        <f>INDEX(Table3[#All], MATCH(Table13[[#This Row],[Dept_Id]], Table3[[#All],[Dept_Id]], 0), 1)</f>
        <v>Research</v>
      </c>
    </row>
    <row r="410" spans="1:14" x14ac:dyDescent="0.25">
      <c r="A410" s="2">
        <v>293183</v>
      </c>
      <c r="B410" s="1" t="s">
        <v>1419</v>
      </c>
      <c r="C410" s="1" t="s">
        <v>1420</v>
      </c>
      <c r="D410" s="1" t="s">
        <v>1421</v>
      </c>
      <c r="E410" s="1" t="s">
        <v>33</v>
      </c>
      <c r="F410" s="1" t="s">
        <v>1422</v>
      </c>
      <c r="G410" s="1">
        <v>7</v>
      </c>
      <c r="H410" s="1" t="s">
        <v>15</v>
      </c>
      <c r="I410" s="1">
        <v>0</v>
      </c>
      <c r="J410" s="1" t="s">
        <v>23</v>
      </c>
      <c r="K410" s="1">
        <v>56376</v>
      </c>
      <c r="L410" s="1" t="s">
        <v>24</v>
      </c>
      <c r="M410" s="3" t="s">
        <v>55</v>
      </c>
      <c r="N410" s="1" t="str">
        <f>INDEX(Table3[#All], MATCH(Table13[[#This Row],[Dept_Id]], Table3[[#All],[Dept_Id]], 0), 1)</f>
        <v>Production</v>
      </c>
    </row>
    <row r="411" spans="1:14" x14ac:dyDescent="0.25">
      <c r="A411" s="2">
        <v>10246</v>
      </c>
      <c r="B411" s="1" t="s">
        <v>1423</v>
      </c>
      <c r="C411" s="1" t="s">
        <v>587</v>
      </c>
      <c r="D411" s="1" t="s">
        <v>1424</v>
      </c>
      <c r="E411" s="1" t="s">
        <v>13</v>
      </c>
      <c r="F411" s="1" t="s">
        <v>1425</v>
      </c>
      <c r="G411" s="1">
        <v>6</v>
      </c>
      <c r="H411" s="1" t="s">
        <v>35</v>
      </c>
      <c r="I411" s="1">
        <v>0</v>
      </c>
      <c r="J411" s="1" t="s">
        <v>23</v>
      </c>
      <c r="K411" s="1">
        <v>40000</v>
      </c>
      <c r="L411" s="1" t="s">
        <v>24</v>
      </c>
      <c r="M411" s="3" t="s">
        <v>18</v>
      </c>
      <c r="N411" s="1" t="str">
        <f>INDEX(Table3[#All], MATCH(Table13[[#This Row],[Dept_Id]], Table3[[#All],[Dept_Id]], 0), 1)</f>
        <v>Production</v>
      </c>
    </row>
    <row r="412" spans="1:14" x14ac:dyDescent="0.25">
      <c r="A412" s="2">
        <v>10247</v>
      </c>
      <c r="B412" s="1" t="s">
        <v>1426</v>
      </c>
      <c r="C412" s="1" t="s">
        <v>1427</v>
      </c>
      <c r="D412" s="1" t="s">
        <v>1428</v>
      </c>
      <c r="E412" s="1" t="s">
        <v>33</v>
      </c>
      <c r="F412" s="1" t="s">
        <v>1429</v>
      </c>
      <c r="G412" s="1">
        <v>8</v>
      </c>
      <c r="H412" s="1" t="s">
        <v>29</v>
      </c>
      <c r="I412" s="1">
        <v>0</v>
      </c>
      <c r="J412" s="1" t="s">
        <v>23</v>
      </c>
      <c r="K412" s="1">
        <v>40000</v>
      </c>
      <c r="L412" s="1" t="s">
        <v>24</v>
      </c>
      <c r="M412" s="3" t="s">
        <v>18</v>
      </c>
      <c r="N412" s="1" t="str">
        <f>INDEX(Table3[#All], MATCH(Table13[[#This Row],[Dept_Id]], Table3[[#All],[Dept_Id]], 0), 1)</f>
        <v>Production</v>
      </c>
    </row>
    <row r="413" spans="1:14" x14ac:dyDescent="0.25">
      <c r="A413" s="2">
        <v>439788</v>
      </c>
      <c r="B413" s="1" t="s">
        <v>1430</v>
      </c>
      <c r="C413" s="1" t="s">
        <v>1431</v>
      </c>
      <c r="D413" s="1" t="s">
        <v>1432</v>
      </c>
      <c r="E413" s="1" t="s">
        <v>33</v>
      </c>
      <c r="F413" s="1" t="s">
        <v>1433</v>
      </c>
      <c r="G413" s="1">
        <v>1</v>
      </c>
      <c r="H413" s="1" t="s">
        <v>29</v>
      </c>
      <c r="I413" s="1">
        <v>0</v>
      </c>
      <c r="J413" s="1" t="s">
        <v>23</v>
      </c>
      <c r="K413" s="1">
        <v>40000</v>
      </c>
      <c r="L413" s="1" t="s">
        <v>17</v>
      </c>
      <c r="M413" s="3" t="s">
        <v>55</v>
      </c>
      <c r="N413" s="1" t="str">
        <f>INDEX(Table3[#All], MATCH(Table13[[#This Row],[Dept_Id]], Table3[[#All],[Dept_Id]], 0), 1)</f>
        <v>Development</v>
      </c>
    </row>
    <row r="414" spans="1:14" x14ac:dyDescent="0.25">
      <c r="A414" s="2">
        <v>439788</v>
      </c>
      <c r="B414" s="1" t="s">
        <v>1430</v>
      </c>
      <c r="C414" s="1" t="s">
        <v>1431</v>
      </c>
      <c r="D414" s="1" t="s">
        <v>1432</v>
      </c>
      <c r="E414" s="1" t="s">
        <v>33</v>
      </c>
      <c r="F414" s="1" t="s">
        <v>1433</v>
      </c>
      <c r="G414" s="1">
        <v>1</v>
      </c>
      <c r="H414" s="1" t="s">
        <v>29</v>
      </c>
      <c r="I414" s="1">
        <v>0</v>
      </c>
      <c r="J414" s="1" t="s">
        <v>23</v>
      </c>
      <c r="K414" s="1">
        <v>40000</v>
      </c>
      <c r="L414" s="1" t="s">
        <v>61</v>
      </c>
      <c r="M414" s="3" t="s">
        <v>55</v>
      </c>
      <c r="N414" s="1" t="str">
        <f>INDEX(Table3[#All], MATCH(Table13[[#This Row],[Dept_Id]], Table3[[#All],[Dept_Id]], 0), 1)</f>
        <v>Research</v>
      </c>
    </row>
    <row r="415" spans="1:14" x14ac:dyDescent="0.25">
      <c r="A415" s="2">
        <v>10248</v>
      </c>
      <c r="B415" s="1" t="s">
        <v>1434</v>
      </c>
      <c r="C415" s="1" t="s">
        <v>1435</v>
      </c>
      <c r="D415" s="1" t="s">
        <v>195</v>
      </c>
      <c r="E415" s="1" t="s">
        <v>33</v>
      </c>
      <c r="F415" s="1" t="s">
        <v>1436</v>
      </c>
      <c r="G415" s="1">
        <v>8</v>
      </c>
      <c r="H415" s="1" t="s">
        <v>29</v>
      </c>
      <c r="I415" s="1">
        <v>0</v>
      </c>
      <c r="J415" s="1" t="s">
        <v>23</v>
      </c>
      <c r="K415" s="1">
        <v>58918</v>
      </c>
      <c r="L415" s="1" t="s">
        <v>40</v>
      </c>
      <c r="M415" s="3" t="s">
        <v>41</v>
      </c>
      <c r="N415" s="1" t="str">
        <f>INDEX(Table3[#All], MATCH(Table13[[#This Row],[Dept_Id]], Table3[[#All],[Dept_Id]], 0), 1)</f>
        <v>Sales</v>
      </c>
    </row>
    <row r="416" spans="1:14" x14ac:dyDescent="0.25">
      <c r="A416" s="2">
        <v>10249</v>
      </c>
      <c r="B416" s="1" t="s">
        <v>1437</v>
      </c>
      <c r="C416" s="1" t="s">
        <v>1438</v>
      </c>
      <c r="D416" s="1" t="s">
        <v>1439</v>
      </c>
      <c r="E416" s="1" t="s">
        <v>13</v>
      </c>
      <c r="F416" s="1" t="s">
        <v>1440</v>
      </c>
      <c r="G416" s="1">
        <v>5</v>
      </c>
      <c r="H416" s="1" t="s">
        <v>29</v>
      </c>
      <c r="I416" s="1">
        <v>0</v>
      </c>
      <c r="J416" s="1" t="s">
        <v>23</v>
      </c>
      <c r="K416" s="1">
        <v>72192</v>
      </c>
      <c r="L416" s="1" t="s">
        <v>17</v>
      </c>
      <c r="M416" s="3" t="s">
        <v>18</v>
      </c>
      <c r="N416" s="1" t="str">
        <f>INDEX(Table3[#All], MATCH(Table13[[#This Row],[Dept_Id]], Table3[[#All],[Dept_Id]], 0), 1)</f>
        <v>Development</v>
      </c>
    </row>
    <row r="417" spans="1:14" x14ac:dyDescent="0.25">
      <c r="A417" s="2">
        <v>10249</v>
      </c>
      <c r="B417" s="1" t="s">
        <v>1437</v>
      </c>
      <c r="C417" s="1" t="s">
        <v>1438</v>
      </c>
      <c r="D417" s="1" t="s">
        <v>1439</v>
      </c>
      <c r="E417" s="1" t="s">
        <v>13</v>
      </c>
      <c r="F417" s="1" t="s">
        <v>1440</v>
      </c>
      <c r="G417" s="1">
        <v>5</v>
      </c>
      <c r="H417" s="1" t="s">
        <v>29</v>
      </c>
      <c r="I417" s="1">
        <v>0</v>
      </c>
      <c r="J417" s="1" t="s">
        <v>23</v>
      </c>
      <c r="K417" s="1">
        <v>72192</v>
      </c>
      <c r="L417" s="1" t="s">
        <v>61</v>
      </c>
      <c r="M417" s="3" t="s">
        <v>18</v>
      </c>
      <c r="N417" s="1" t="str">
        <f>INDEX(Table3[#All], MATCH(Table13[[#This Row],[Dept_Id]], Table3[[#All],[Dept_Id]], 0), 1)</f>
        <v>Research</v>
      </c>
    </row>
    <row r="418" spans="1:14" x14ac:dyDescent="0.25">
      <c r="A418" s="2">
        <v>431759</v>
      </c>
      <c r="B418" s="1" t="s">
        <v>1441</v>
      </c>
      <c r="C418" s="1" t="s">
        <v>1206</v>
      </c>
      <c r="D418" s="1" t="s">
        <v>744</v>
      </c>
      <c r="E418" s="1" t="s">
        <v>13</v>
      </c>
      <c r="F418" s="1" t="s">
        <v>1442</v>
      </c>
      <c r="G418" s="1">
        <v>6</v>
      </c>
      <c r="H418" s="1" t="s">
        <v>29</v>
      </c>
      <c r="I418" s="1">
        <v>0</v>
      </c>
      <c r="J418" s="1" t="s">
        <v>23</v>
      </c>
      <c r="K418" s="1">
        <v>44859</v>
      </c>
      <c r="L418" s="1" t="s">
        <v>24</v>
      </c>
      <c r="M418" s="3" t="s">
        <v>55</v>
      </c>
      <c r="N418" s="1" t="str">
        <f>INDEX(Table3[#All], MATCH(Table13[[#This Row],[Dept_Id]], Table3[[#All],[Dept_Id]], 0), 1)</f>
        <v>Production</v>
      </c>
    </row>
    <row r="419" spans="1:14" x14ac:dyDescent="0.25">
      <c r="A419" s="2">
        <v>431759</v>
      </c>
      <c r="B419" s="1" t="s">
        <v>1441</v>
      </c>
      <c r="C419" s="1" t="s">
        <v>1206</v>
      </c>
      <c r="D419" s="1" t="s">
        <v>744</v>
      </c>
      <c r="E419" s="1" t="s">
        <v>13</v>
      </c>
      <c r="F419" s="1" t="s">
        <v>1442</v>
      </c>
      <c r="G419" s="1">
        <v>6</v>
      </c>
      <c r="H419" s="1" t="s">
        <v>29</v>
      </c>
      <c r="I419" s="1">
        <v>0</v>
      </c>
      <c r="J419" s="1" t="s">
        <v>23</v>
      </c>
      <c r="K419" s="1">
        <v>44859</v>
      </c>
      <c r="L419" s="1" t="s">
        <v>71</v>
      </c>
      <c r="M419" s="3" t="s">
        <v>55</v>
      </c>
      <c r="N419" s="1" t="str">
        <f>INDEX(Table3[#All], MATCH(Table13[[#This Row],[Dept_Id]], Table3[[#All],[Dept_Id]], 0), 1)</f>
        <v>Quality Management</v>
      </c>
    </row>
    <row r="420" spans="1:14" x14ac:dyDescent="0.25">
      <c r="A420" s="2">
        <v>10250</v>
      </c>
      <c r="B420" s="1" t="s">
        <v>1443</v>
      </c>
      <c r="C420" s="1" t="s">
        <v>1444</v>
      </c>
      <c r="D420" s="1" t="s">
        <v>1445</v>
      </c>
      <c r="E420" s="1" t="s">
        <v>13</v>
      </c>
      <c r="F420" s="1" t="s">
        <v>1446</v>
      </c>
      <c r="G420" s="1">
        <v>7</v>
      </c>
      <c r="H420" s="1" t="s">
        <v>29</v>
      </c>
      <c r="I420" s="1">
        <v>0</v>
      </c>
      <c r="J420" s="1" t="s">
        <v>23</v>
      </c>
      <c r="K420" s="1">
        <v>50330</v>
      </c>
      <c r="L420" s="1" t="s">
        <v>71</v>
      </c>
      <c r="M420" s="3" t="s">
        <v>18</v>
      </c>
      <c r="N420" s="1" t="str">
        <f>INDEX(Table3[#All], MATCH(Table13[[#This Row],[Dept_Id]], Table3[[#All],[Dept_Id]], 0), 1)</f>
        <v>Quality Management</v>
      </c>
    </row>
    <row r="421" spans="1:14" x14ac:dyDescent="0.25">
      <c r="A421" s="2">
        <v>426193</v>
      </c>
      <c r="B421" s="1" t="s">
        <v>1447</v>
      </c>
      <c r="C421" s="1" t="s">
        <v>1448</v>
      </c>
      <c r="D421" s="1" t="s">
        <v>1449</v>
      </c>
      <c r="E421" s="1" t="s">
        <v>13</v>
      </c>
      <c r="F421" s="1" t="s">
        <v>1450</v>
      </c>
      <c r="G421" s="1">
        <v>7</v>
      </c>
      <c r="H421" s="1" t="s">
        <v>29</v>
      </c>
      <c r="I421" s="1">
        <v>1</v>
      </c>
      <c r="J421" s="1" t="s">
        <v>1451</v>
      </c>
      <c r="K421" s="1">
        <v>75063</v>
      </c>
      <c r="L421" s="1" t="s">
        <v>40</v>
      </c>
      <c r="M421" s="3" t="s">
        <v>41</v>
      </c>
      <c r="N421" s="1" t="str">
        <f>INDEX(Table3[#All], MATCH(Table13[[#This Row],[Dept_Id]], Table3[[#All],[Dept_Id]], 0), 1)</f>
        <v>Sales</v>
      </c>
    </row>
    <row r="422" spans="1:14" x14ac:dyDescent="0.25">
      <c r="A422" s="2">
        <v>10251</v>
      </c>
      <c r="B422" s="1" t="s">
        <v>1452</v>
      </c>
      <c r="C422" s="1" t="s">
        <v>1453</v>
      </c>
      <c r="D422" s="1" t="s">
        <v>301</v>
      </c>
      <c r="E422" s="1" t="s">
        <v>13</v>
      </c>
      <c r="F422" s="1" t="s">
        <v>1292</v>
      </c>
      <c r="G422" s="1">
        <v>2</v>
      </c>
      <c r="H422" s="1" t="s">
        <v>29</v>
      </c>
      <c r="I422" s="1">
        <v>0</v>
      </c>
      <c r="J422" s="1" t="s">
        <v>23</v>
      </c>
      <c r="K422" s="1">
        <v>61743</v>
      </c>
      <c r="L422" s="1" t="s">
        <v>61</v>
      </c>
      <c r="M422" s="3" t="s">
        <v>41</v>
      </c>
      <c r="N422" s="1" t="str">
        <f>INDEX(Table3[#All], MATCH(Table13[[#This Row],[Dept_Id]], Table3[[#All],[Dept_Id]], 0), 1)</f>
        <v>Research</v>
      </c>
    </row>
    <row r="423" spans="1:14" x14ac:dyDescent="0.25">
      <c r="A423" s="2">
        <v>10252</v>
      </c>
      <c r="B423" s="1" t="s">
        <v>1454</v>
      </c>
      <c r="C423" s="1" t="s">
        <v>1455</v>
      </c>
      <c r="D423" s="1" t="s">
        <v>1456</v>
      </c>
      <c r="E423" s="1" t="s">
        <v>33</v>
      </c>
      <c r="F423" s="1" t="s">
        <v>1457</v>
      </c>
      <c r="G423" s="1">
        <v>4</v>
      </c>
      <c r="H423" s="1" t="s">
        <v>29</v>
      </c>
      <c r="I423" s="1">
        <v>0</v>
      </c>
      <c r="J423" s="1" t="s">
        <v>23</v>
      </c>
      <c r="K423" s="1">
        <v>40000</v>
      </c>
      <c r="L423" s="1" t="s">
        <v>24</v>
      </c>
      <c r="M423" s="3" t="s">
        <v>18</v>
      </c>
      <c r="N423" s="1" t="str">
        <f>INDEX(Table3[#All], MATCH(Table13[[#This Row],[Dept_Id]], Table3[[#All],[Dept_Id]], 0), 1)</f>
        <v>Production</v>
      </c>
    </row>
    <row r="424" spans="1:14" x14ac:dyDescent="0.25">
      <c r="A424" s="2">
        <v>416364</v>
      </c>
      <c r="B424" s="1" t="s">
        <v>652</v>
      </c>
      <c r="C424" s="1" t="s">
        <v>836</v>
      </c>
      <c r="D424" s="1" t="s">
        <v>1458</v>
      </c>
      <c r="E424" s="1" t="s">
        <v>13</v>
      </c>
      <c r="F424" s="1" t="s">
        <v>1459</v>
      </c>
      <c r="G424" s="1">
        <v>1</v>
      </c>
      <c r="H424" s="1" t="s">
        <v>35</v>
      </c>
      <c r="I424" s="1">
        <v>0</v>
      </c>
      <c r="J424" s="1" t="s">
        <v>23</v>
      </c>
      <c r="K424" s="1">
        <v>64980</v>
      </c>
      <c r="L424" s="1" t="s">
        <v>24</v>
      </c>
      <c r="M424" s="3" t="s">
        <v>18</v>
      </c>
      <c r="N424" s="1" t="str">
        <f>INDEX(Table3[#All], MATCH(Table13[[#This Row],[Dept_Id]], Table3[[#All],[Dept_Id]], 0), 1)</f>
        <v>Production</v>
      </c>
    </row>
    <row r="425" spans="1:14" x14ac:dyDescent="0.25">
      <c r="A425" s="2">
        <v>416364</v>
      </c>
      <c r="B425" s="1" t="s">
        <v>652</v>
      </c>
      <c r="C425" s="1" t="s">
        <v>836</v>
      </c>
      <c r="D425" s="1" t="s">
        <v>1458</v>
      </c>
      <c r="E425" s="1" t="s">
        <v>13</v>
      </c>
      <c r="F425" s="1" t="s">
        <v>1459</v>
      </c>
      <c r="G425" s="1">
        <v>1</v>
      </c>
      <c r="H425" s="1" t="s">
        <v>35</v>
      </c>
      <c r="I425" s="1">
        <v>0</v>
      </c>
      <c r="J425" s="1" t="s">
        <v>23</v>
      </c>
      <c r="K425" s="1">
        <v>64980</v>
      </c>
      <c r="L425" s="1" t="s">
        <v>17</v>
      </c>
      <c r="M425" s="3" t="s">
        <v>18</v>
      </c>
      <c r="N425" s="1" t="str">
        <f>INDEX(Table3[#All], MATCH(Table13[[#This Row],[Dept_Id]], Table3[[#All],[Dept_Id]], 0), 1)</f>
        <v>Development</v>
      </c>
    </row>
    <row r="426" spans="1:14" x14ac:dyDescent="0.25">
      <c r="A426" s="2">
        <v>10253</v>
      </c>
      <c r="B426" s="1" t="s">
        <v>1460</v>
      </c>
      <c r="C426" s="1" t="s">
        <v>1461</v>
      </c>
      <c r="D426" s="1" t="s">
        <v>1462</v>
      </c>
      <c r="E426" s="1" t="s">
        <v>33</v>
      </c>
      <c r="F426" s="1" t="s">
        <v>1463</v>
      </c>
      <c r="G426" s="1">
        <v>9</v>
      </c>
      <c r="H426" s="1" t="s">
        <v>370</v>
      </c>
      <c r="I426" s="1">
        <v>1</v>
      </c>
      <c r="J426" s="1" t="s">
        <v>1464</v>
      </c>
      <c r="K426" s="1">
        <v>62494</v>
      </c>
      <c r="L426" s="1" t="s">
        <v>40</v>
      </c>
      <c r="M426" s="3" t="s">
        <v>41</v>
      </c>
      <c r="N426" s="1" t="str">
        <f>INDEX(Table3[#All], MATCH(Table13[[#This Row],[Dept_Id]], Table3[[#All],[Dept_Id]], 0), 1)</f>
        <v>Sales</v>
      </c>
    </row>
    <row r="427" spans="1:14" x14ac:dyDescent="0.25">
      <c r="A427" s="2">
        <v>10254</v>
      </c>
      <c r="B427" s="1" t="s">
        <v>932</v>
      </c>
      <c r="C427" s="1" t="s">
        <v>1465</v>
      </c>
      <c r="D427" s="1" t="s">
        <v>432</v>
      </c>
      <c r="E427" s="1" t="s">
        <v>13</v>
      </c>
      <c r="F427" s="1" t="s">
        <v>1466</v>
      </c>
      <c r="G427" s="1">
        <v>5</v>
      </c>
      <c r="H427" s="1" t="s">
        <v>15</v>
      </c>
      <c r="I427" s="1">
        <v>1</v>
      </c>
      <c r="J427" s="1" t="s">
        <v>1467</v>
      </c>
      <c r="K427" s="1">
        <v>60222</v>
      </c>
      <c r="L427" s="1" t="s">
        <v>40</v>
      </c>
      <c r="M427" s="3" t="s">
        <v>41</v>
      </c>
      <c r="N427" s="1" t="str">
        <f>INDEX(Table3[#All], MATCH(Table13[[#This Row],[Dept_Id]], Table3[[#All],[Dept_Id]], 0), 1)</f>
        <v>Sales</v>
      </c>
    </row>
    <row r="428" spans="1:14" x14ac:dyDescent="0.25">
      <c r="A428" s="2">
        <v>207791</v>
      </c>
      <c r="B428" s="1" t="s">
        <v>1468</v>
      </c>
      <c r="C428" s="1" t="s">
        <v>1469</v>
      </c>
      <c r="D428" s="1" t="s">
        <v>1470</v>
      </c>
      <c r="E428" s="1" t="s">
        <v>13</v>
      </c>
      <c r="F428" s="1" t="s">
        <v>1471</v>
      </c>
      <c r="G428" s="1">
        <v>3</v>
      </c>
      <c r="H428" s="1" t="s">
        <v>29</v>
      </c>
      <c r="I428" s="1">
        <v>0</v>
      </c>
      <c r="J428" s="1" t="s">
        <v>23</v>
      </c>
      <c r="K428" s="1">
        <v>43645</v>
      </c>
      <c r="L428" s="1" t="s">
        <v>17</v>
      </c>
      <c r="M428" s="3" t="s">
        <v>55</v>
      </c>
      <c r="N428" s="1" t="str">
        <f>INDEX(Table3[#All], MATCH(Table13[[#This Row],[Dept_Id]], Table3[[#All],[Dept_Id]], 0), 1)</f>
        <v>Development</v>
      </c>
    </row>
    <row r="429" spans="1:14" x14ac:dyDescent="0.25">
      <c r="A429" s="2">
        <v>10255</v>
      </c>
      <c r="B429" s="1" t="s">
        <v>1472</v>
      </c>
      <c r="C429" s="1" t="s">
        <v>230</v>
      </c>
      <c r="D429" s="1" t="s">
        <v>1473</v>
      </c>
      <c r="E429" s="1" t="s">
        <v>13</v>
      </c>
      <c r="F429" s="1" t="s">
        <v>1474</v>
      </c>
      <c r="G429" s="1">
        <v>9</v>
      </c>
      <c r="H429" s="1" t="s">
        <v>29</v>
      </c>
      <c r="I429" s="1">
        <v>0</v>
      </c>
      <c r="J429" s="1" t="s">
        <v>23</v>
      </c>
      <c r="K429" s="1">
        <v>63822</v>
      </c>
      <c r="L429" s="1" t="s">
        <v>24</v>
      </c>
      <c r="M429" s="3" t="s">
        <v>18</v>
      </c>
      <c r="N429" s="1" t="str">
        <f>INDEX(Table3[#All], MATCH(Table13[[#This Row],[Dept_Id]], Table3[[#All],[Dept_Id]], 0), 1)</f>
        <v>Production</v>
      </c>
    </row>
    <row r="430" spans="1:14" x14ac:dyDescent="0.25">
      <c r="A430" s="2">
        <v>10256</v>
      </c>
      <c r="B430" s="1" t="s">
        <v>1475</v>
      </c>
      <c r="C430" s="1" t="s">
        <v>1431</v>
      </c>
      <c r="D430" s="1" t="s">
        <v>1476</v>
      </c>
      <c r="E430" s="1" t="s">
        <v>13</v>
      </c>
      <c r="F430" s="1" t="s">
        <v>1477</v>
      </c>
      <c r="G430" s="1">
        <v>5</v>
      </c>
      <c r="H430" s="1" t="s">
        <v>15</v>
      </c>
      <c r="I430" s="1">
        <v>0</v>
      </c>
      <c r="J430" s="1" t="s">
        <v>23</v>
      </c>
      <c r="K430" s="1">
        <v>71305</v>
      </c>
      <c r="L430" s="1" t="s">
        <v>40</v>
      </c>
      <c r="M430" s="3" t="s">
        <v>41</v>
      </c>
      <c r="N430" s="1" t="str">
        <f>INDEX(Table3[#All], MATCH(Table13[[#This Row],[Dept_Id]], Table3[[#All],[Dept_Id]], 0), 1)</f>
        <v>Sales</v>
      </c>
    </row>
    <row r="431" spans="1:14" x14ac:dyDescent="0.25">
      <c r="A431" s="2">
        <v>277176</v>
      </c>
      <c r="B431" s="1" t="s">
        <v>1478</v>
      </c>
      <c r="C431" s="1" t="s">
        <v>43</v>
      </c>
      <c r="D431" s="1" t="s">
        <v>38</v>
      </c>
      <c r="E431" s="1" t="s">
        <v>13</v>
      </c>
      <c r="F431" s="1" t="s">
        <v>1479</v>
      </c>
      <c r="G431" s="1">
        <v>2</v>
      </c>
      <c r="H431" s="1" t="s">
        <v>29</v>
      </c>
      <c r="I431" s="1">
        <v>0</v>
      </c>
      <c r="J431" s="1" t="s">
        <v>23</v>
      </c>
      <c r="K431" s="1">
        <v>57027</v>
      </c>
      <c r="L431" s="1" t="s">
        <v>61</v>
      </c>
      <c r="M431" s="3" t="s">
        <v>41</v>
      </c>
      <c r="N431" s="1" t="str">
        <f>INDEX(Table3[#All], MATCH(Table13[[#This Row],[Dept_Id]], Table3[[#All],[Dept_Id]], 0), 1)</f>
        <v>Research</v>
      </c>
    </row>
    <row r="432" spans="1:14" x14ac:dyDescent="0.25">
      <c r="A432" s="2">
        <v>10257</v>
      </c>
      <c r="B432" s="1" t="s">
        <v>1480</v>
      </c>
      <c r="C432" s="1" t="s">
        <v>1481</v>
      </c>
      <c r="D432" s="1" t="s">
        <v>1482</v>
      </c>
      <c r="E432" s="1" t="s">
        <v>13</v>
      </c>
      <c r="F432" s="1" t="s">
        <v>1483</v>
      </c>
      <c r="G432" s="1">
        <v>3</v>
      </c>
      <c r="H432" s="1" t="s">
        <v>35</v>
      </c>
      <c r="I432" s="1">
        <v>0</v>
      </c>
      <c r="J432" s="1" t="s">
        <v>23</v>
      </c>
      <c r="K432" s="1">
        <v>40000</v>
      </c>
      <c r="L432" s="1" t="s">
        <v>24</v>
      </c>
      <c r="M432" s="3" t="s">
        <v>156</v>
      </c>
      <c r="N432" s="1" t="str">
        <f>INDEX(Table3[#All], MATCH(Table13[[#This Row],[Dept_Id]], Table3[[#All],[Dept_Id]], 0), 1)</f>
        <v>Production</v>
      </c>
    </row>
    <row r="433" spans="1:14" x14ac:dyDescent="0.25">
      <c r="A433" s="2">
        <v>10258</v>
      </c>
      <c r="B433" s="1" t="s">
        <v>1484</v>
      </c>
      <c r="C433" s="1" t="s">
        <v>320</v>
      </c>
      <c r="D433" s="1" t="s">
        <v>864</v>
      </c>
      <c r="E433" s="1" t="s">
        <v>33</v>
      </c>
      <c r="F433" s="1" t="s">
        <v>1485</v>
      </c>
      <c r="G433" s="1">
        <v>8</v>
      </c>
      <c r="H433" s="1" t="s">
        <v>35</v>
      </c>
      <c r="I433" s="1">
        <v>0</v>
      </c>
      <c r="J433" s="1" t="s">
        <v>23</v>
      </c>
      <c r="K433" s="1">
        <v>66280</v>
      </c>
      <c r="L433" s="1" t="s">
        <v>17</v>
      </c>
      <c r="M433" s="3" t="s">
        <v>18</v>
      </c>
      <c r="N433" s="1" t="str">
        <f>INDEX(Table3[#All], MATCH(Table13[[#This Row],[Dept_Id]], Table3[[#All],[Dept_Id]], 0), 1)</f>
        <v>Development</v>
      </c>
    </row>
    <row r="434" spans="1:14" x14ac:dyDescent="0.25">
      <c r="A434" s="2">
        <v>22638</v>
      </c>
      <c r="B434" s="1" t="s">
        <v>1486</v>
      </c>
      <c r="C434" s="1" t="s">
        <v>1487</v>
      </c>
      <c r="D434" s="1" t="s">
        <v>1488</v>
      </c>
      <c r="E434" s="1" t="s">
        <v>33</v>
      </c>
      <c r="F434" s="1" t="s">
        <v>1489</v>
      </c>
      <c r="G434" s="1">
        <v>9</v>
      </c>
      <c r="H434" s="1" t="s">
        <v>15</v>
      </c>
      <c r="I434" s="1">
        <v>0</v>
      </c>
      <c r="J434" s="1" t="s">
        <v>23</v>
      </c>
      <c r="K434" s="1">
        <v>68821</v>
      </c>
      <c r="L434" s="1" t="s">
        <v>17</v>
      </c>
      <c r="M434" s="3" t="s">
        <v>156</v>
      </c>
      <c r="N434" s="1" t="str">
        <f>INDEX(Table3[#All], MATCH(Table13[[#This Row],[Dept_Id]], Table3[[#All],[Dept_Id]], 0), 1)</f>
        <v>Development</v>
      </c>
    </row>
    <row r="435" spans="1:14" x14ac:dyDescent="0.25">
      <c r="A435" s="2">
        <v>10259</v>
      </c>
      <c r="B435" s="1" t="s">
        <v>1490</v>
      </c>
      <c r="C435" s="1" t="s">
        <v>1491</v>
      </c>
      <c r="D435" s="1" t="s">
        <v>1492</v>
      </c>
      <c r="E435" s="1" t="s">
        <v>13</v>
      </c>
      <c r="F435" s="1" t="s">
        <v>1493</v>
      </c>
      <c r="G435" s="1">
        <v>1</v>
      </c>
      <c r="H435" s="1" t="s">
        <v>29</v>
      </c>
      <c r="I435" s="1">
        <v>0</v>
      </c>
      <c r="J435" s="1" t="s">
        <v>23</v>
      </c>
      <c r="K435" s="1">
        <v>88991</v>
      </c>
      <c r="L435" s="1" t="s">
        <v>125</v>
      </c>
      <c r="M435" s="3" t="s">
        <v>41</v>
      </c>
      <c r="N435" s="1" t="str">
        <f>INDEX(Table3[#All], MATCH(Table13[[#This Row],[Dept_Id]], Table3[[#All],[Dept_Id]], 0), 1)</f>
        <v>Marketing</v>
      </c>
    </row>
    <row r="436" spans="1:14" x14ac:dyDescent="0.25">
      <c r="A436" s="2">
        <v>10259</v>
      </c>
      <c r="B436" s="1" t="s">
        <v>1490</v>
      </c>
      <c r="C436" s="1" t="s">
        <v>1491</v>
      </c>
      <c r="D436" s="1" t="s">
        <v>1492</v>
      </c>
      <c r="E436" s="1" t="s">
        <v>13</v>
      </c>
      <c r="F436" s="1" t="s">
        <v>1493</v>
      </c>
      <c r="G436" s="1">
        <v>1</v>
      </c>
      <c r="H436" s="1" t="s">
        <v>29</v>
      </c>
      <c r="I436" s="1">
        <v>0</v>
      </c>
      <c r="J436" s="1" t="s">
        <v>23</v>
      </c>
      <c r="K436" s="1">
        <v>88991</v>
      </c>
      <c r="L436" s="1" t="s">
        <v>89</v>
      </c>
      <c r="M436" s="3" t="s">
        <v>41</v>
      </c>
      <c r="N436" s="1" t="str">
        <f>INDEX(Table3[#All], MATCH(Table13[[#This Row],[Dept_Id]], Table3[[#All],[Dept_Id]], 0), 1)</f>
        <v>Customer Service</v>
      </c>
    </row>
    <row r="437" spans="1:14" x14ac:dyDescent="0.25">
      <c r="A437" s="2">
        <v>205714</v>
      </c>
      <c r="B437" s="1" t="s">
        <v>1494</v>
      </c>
      <c r="C437" s="1" t="s">
        <v>1495</v>
      </c>
      <c r="D437" s="1" t="s">
        <v>1222</v>
      </c>
      <c r="E437" s="1" t="s">
        <v>13</v>
      </c>
      <c r="F437" s="1" t="s">
        <v>1496</v>
      </c>
      <c r="G437" s="1">
        <v>1</v>
      </c>
      <c r="H437" s="1" t="s">
        <v>35</v>
      </c>
      <c r="I437" s="1">
        <v>0</v>
      </c>
      <c r="J437" s="1" t="s">
        <v>23</v>
      </c>
      <c r="K437" s="1">
        <v>51903</v>
      </c>
      <c r="L437" s="1" t="s">
        <v>17</v>
      </c>
      <c r="M437" s="3" t="s">
        <v>18</v>
      </c>
      <c r="N437" s="1" t="str">
        <f>INDEX(Table3[#All], MATCH(Table13[[#This Row],[Dept_Id]], Table3[[#All],[Dept_Id]], 0), 1)</f>
        <v>Development</v>
      </c>
    </row>
    <row r="438" spans="1:14" x14ac:dyDescent="0.25">
      <c r="A438" s="2">
        <v>10260</v>
      </c>
      <c r="B438" s="1" t="s">
        <v>1497</v>
      </c>
      <c r="C438" s="1" t="s">
        <v>1498</v>
      </c>
      <c r="D438" s="1" t="s">
        <v>1499</v>
      </c>
      <c r="E438" s="1" t="s">
        <v>33</v>
      </c>
      <c r="F438" s="1" t="s">
        <v>1500</v>
      </c>
      <c r="G438" s="1">
        <v>10</v>
      </c>
      <c r="H438" s="1" t="s">
        <v>138</v>
      </c>
      <c r="I438" s="1">
        <v>0</v>
      </c>
      <c r="J438" s="1" t="s">
        <v>23</v>
      </c>
      <c r="K438" s="1">
        <v>60879</v>
      </c>
      <c r="L438" s="1" t="s">
        <v>24</v>
      </c>
      <c r="M438" s="3" t="s">
        <v>18</v>
      </c>
      <c r="N438" s="1" t="str">
        <f>INDEX(Table3[#All], MATCH(Table13[[#This Row],[Dept_Id]], Table3[[#All],[Dept_Id]], 0), 1)</f>
        <v>Production</v>
      </c>
    </row>
    <row r="439" spans="1:14" x14ac:dyDescent="0.25">
      <c r="A439" s="2">
        <v>10261</v>
      </c>
      <c r="B439" s="1" t="s">
        <v>495</v>
      </c>
      <c r="C439" s="1" t="s">
        <v>1501</v>
      </c>
      <c r="D439" s="1" t="s">
        <v>1502</v>
      </c>
      <c r="E439" s="1" t="s">
        <v>13</v>
      </c>
      <c r="F439" s="1" t="s">
        <v>1503</v>
      </c>
      <c r="G439" s="1">
        <v>4</v>
      </c>
      <c r="H439" s="1" t="s">
        <v>15</v>
      </c>
      <c r="I439" s="1">
        <v>0</v>
      </c>
      <c r="J439" s="1" t="s">
        <v>23</v>
      </c>
      <c r="K439" s="1">
        <v>40000</v>
      </c>
      <c r="L439" s="1" t="s">
        <v>17</v>
      </c>
      <c r="M439" s="3" t="s">
        <v>18</v>
      </c>
      <c r="N439" s="1" t="str">
        <f>INDEX(Table3[#All], MATCH(Table13[[#This Row],[Dept_Id]], Table3[[#All],[Dept_Id]], 0), 1)</f>
        <v>Development</v>
      </c>
    </row>
    <row r="440" spans="1:14" x14ac:dyDescent="0.25">
      <c r="A440" s="2">
        <v>218042</v>
      </c>
      <c r="B440" s="1" t="s">
        <v>1045</v>
      </c>
      <c r="C440" s="1" t="s">
        <v>1010</v>
      </c>
      <c r="D440" s="1" t="s">
        <v>1504</v>
      </c>
      <c r="E440" s="1" t="s">
        <v>13</v>
      </c>
      <c r="F440" s="1" t="s">
        <v>1505</v>
      </c>
      <c r="G440" s="1">
        <v>1</v>
      </c>
      <c r="H440" s="1" t="s">
        <v>29</v>
      </c>
      <c r="I440" s="1">
        <v>0</v>
      </c>
      <c r="J440" s="1" t="s">
        <v>23</v>
      </c>
      <c r="K440" s="1">
        <v>74213</v>
      </c>
      <c r="L440" s="1" t="s">
        <v>108</v>
      </c>
      <c r="M440" s="3" t="s">
        <v>41</v>
      </c>
      <c r="N440" s="1" t="str">
        <f>INDEX(Table3[#All], MATCH(Table13[[#This Row],[Dept_Id]], Table3[[#All],[Dept_Id]], 0), 1)</f>
        <v>Finance</v>
      </c>
    </row>
    <row r="441" spans="1:14" x14ac:dyDescent="0.25">
      <c r="A441" s="2">
        <v>10262</v>
      </c>
      <c r="B441" s="1" t="s">
        <v>1506</v>
      </c>
      <c r="C441" s="1" t="s">
        <v>1507</v>
      </c>
      <c r="D441" s="1" t="s">
        <v>1508</v>
      </c>
      <c r="E441" s="1" t="s">
        <v>33</v>
      </c>
      <c r="F441" s="1" t="s">
        <v>1509</v>
      </c>
      <c r="G441" s="1">
        <v>5</v>
      </c>
      <c r="H441" s="1" t="s">
        <v>29</v>
      </c>
      <c r="I441" s="1">
        <v>1</v>
      </c>
      <c r="J441" s="1" t="s">
        <v>1510</v>
      </c>
      <c r="K441" s="1">
        <v>63005</v>
      </c>
      <c r="L441" s="1" t="s">
        <v>40</v>
      </c>
      <c r="M441" s="3" t="s">
        <v>41</v>
      </c>
      <c r="N441" s="1" t="str">
        <f>INDEX(Table3[#All], MATCH(Table13[[#This Row],[Dept_Id]], Table3[[#All],[Dept_Id]], 0), 1)</f>
        <v>Sales</v>
      </c>
    </row>
    <row r="442" spans="1:14" x14ac:dyDescent="0.25">
      <c r="A442" s="2">
        <v>10263</v>
      </c>
      <c r="B442" s="1" t="s">
        <v>1511</v>
      </c>
      <c r="C442" s="1" t="s">
        <v>1512</v>
      </c>
      <c r="D442" s="1" t="s">
        <v>1513</v>
      </c>
      <c r="E442" s="1" t="s">
        <v>13</v>
      </c>
      <c r="F442" s="1" t="s">
        <v>1514</v>
      </c>
      <c r="G442" s="1">
        <v>7</v>
      </c>
      <c r="H442" s="1" t="s">
        <v>29</v>
      </c>
      <c r="I442" s="1">
        <v>0</v>
      </c>
      <c r="J442" s="1" t="s">
        <v>23</v>
      </c>
      <c r="K442" s="1">
        <v>67883</v>
      </c>
      <c r="L442" s="1" t="s">
        <v>108</v>
      </c>
      <c r="M442" s="3" t="s">
        <v>41</v>
      </c>
      <c r="N442" s="1" t="str">
        <f>INDEX(Table3[#All], MATCH(Table13[[#This Row],[Dept_Id]], Table3[[#All],[Dept_Id]], 0), 1)</f>
        <v>Finance</v>
      </c>
    </row>
    <row r="443" spans="1:14" x14ac:dyDescent="0.25">
      <c r="A443" s="2">
        <v>36965</v>
      </c>
      <c r="B443" s="1" t="s">
        <v>426</v>
      </c>
      <c r="C443" s="1" t="s">
        <v>1515</v>
      </c>
      <c r="D443" s="1" t="s">
        <v>1516</v>
      </c>
      <c r="E443" s="1" t="s">
        <v>13</v>
      </c>
      <c r="F443" s="1" t="s">
        <v>1517</v>
      </c>
      <c r="G443" s="1">
        <v>2</v>
      </c>
      <c r="H443" s="1" t="s">
        <v>35</v>
      </c>
      <c r="I443" s="1">
        <v>1</v>
      </c>
      <c r="J443" s="1" t="s">
        <v>1518</v>
      </c>
      <c r="K443" s="1">
        <v>51883</v>
      </c>
      <c r="L443" s="1" t="s">
        <v>17</v>
      </c>
      <c r="M443" s="3" t="s">
        <v>18</v>
      </c>
      <c r="N443" s="1" t="str">
        <f>INDEX(Table3[#All], MATCH(Table13[[#This Row],[Dept_Id]], Table3[[#All],[Dept_Id]], 0), 1)</f>
        <v>Development</v>
      </c>
    </row>
    <row r="444" spans="1:14" x14ac:dyDescent="0.25">
      <c r="A444" s="2">
        <v>10264</v>
      </c>
      <c r="B444" s="1" t="s">
        <v>1519</v>
      </c>
      <c r="C444" s="1" t="s">
        <v>1520</v>
      </c>
      <c r="D444" s="1" t="s">
        <v>1521</v>
      </c>
      <c r="E444" s="1" t="s">
        <v>33</v>
      </c>
      <c r="F444" s="1" t="s">
        <v>1522</v>
      </c>
      <c r="G444" s="1">
        <v>6</v>
      </c>
      <c r="H444" s="1" t="s">
        <v>29</v>
      </c>
      <c r="I444" s="1">
        <v>0</v>
      </c>
      <c r="J444" s="1" t="s">
        <v>23</v>
      </c>
      <c r="K444" s="1">
        <v>60522</v>
      </c>
      <c r="L444" s="1" t="s">
        <v>17</v>
      </c>
      <c r="M444" s="3" t="s">
        <v>55</v>
      </c>
      <c r="N444" s="1" t="str">
        <f>INDEX(Table3[#All], MATCH(Table13[[#This Row],[Dept_Id]], Table3[[#All],[Dept_Id]], 0), 1)</f>
        <v>Development</v>
      </c>
    </row>
    <row r="445" spans="1:14" x14ac:dyDescent="0.25">
      <c r="A445" s="2">
        <v>10265</v>
      </c>
      <c r="B445" s="1" t="s">
        <v>733</v>
      </c>
      <c r="C445" s="1" t="s">
        <v>1416</v>
      </c>
      <c r="D445" s="1" t="s">
        <v>1523</v>
      </c>
      <c r="E445" s="1" t="s">
        <v>13</v>
      </c>
      <c r="F445" s="1" t="s">
        <v>1524</v>
      </c>
      <c r="G445" s="1">
        <v>5</v>
      </c>
      <c r="H445" s="1" t="s">
        <v>15</v>
      </c>
      <c r="I445" s="1">
        <v>0</v>
      </c>
      <c r="J445" s="1" t="s">
        <v>23</v>
      </c>
      <c r="K445" s="1">
        <v>46382</v>
      </c>
      <c r="L445" s="1" t="s">
        <v>71</v>
      </c>
      <c r="M445" s="3" t="s">
        <v>18</v>
      </c>
      <c r="N445" s="1" t="str">
        <f>INDEX(Table3[#All], MATCH(Table13[[#This Row],[Dept_Id]], Table3[[#All],[Dept_Id]], 0), 1)</f>
        <v>Quality Management</v>
      </c>
    </row>
    <row r="446" spans="1:14" x14ac:dyDescent="0.25">
      <c r="A446" s="2">
        <v>218058</v>
      </c>
      <c r="B446" s="1" t="s">
        <v>1525</v>
      </c>
      <c r="C446" s="1" t="s">
        <v>1481</v>
      </c>
      <c r="D446" s="1" t="s">
        <v>1526</v>
      </c>
      <c r="E446" s="1" t="s">
        <v>13</v>
      </c>
      <c r="F446" s="1" t="s">
        <v>1527</v>
      </c>
      <c r="G446" s="1">
        <v>1</v>
      </c>
      <c r="H446" s="1" t="s">
        <v>29</v>
      </c>
      <c r="I446" s="1">
        <v>0</v>
      </c>
      <c r="J446" s="1" t="s">
        <v>23</v>
      </c>
      <c r="K446" s="1">
        <v>67484</v>
      </c>
      <c r="L446" s="1" t="s">
        <v>125</v>
      </c>
      <c r="M446" s="3" t="s">
        <v>102</v>
      </c>
      <c r="N446" s="1" t="str">
        <f>INDEX(Table3[#All], MATCH(Table13[[#This Row],[Dept_Id]], Table3[[#All],[Dept_Id]], 0), 1)</f>
        <v>Marketing</v>
      </c>
    </row>
    <row r="447" spans="1:14" x14ac:dyDescent="0.25">
      <c r="A447" s="2">
        <v>10266</v>
      </c>
      <c r="B447" s="1" t="s">
        <v>1528</v>
      </c>
      <c r="C447" s="1" t="s">
        <v>1529</v>
      </c>
      <c r="D447" s="1" t="s">
        <v>1003</v>
      </c>
      <c r="E447" s="1" t="s">
        <v>13</v>
      </c>
      <c r="F447" s="1" t="s">
        <v>1530</v>
      </c>
      <c r="G447" s="1">
        <v>7</v>
      </c>
      <c r="H447" s="1" t="s">
        <v>35</v>
      </c>
      <c r="I447" s="1">
        <v>0</v>
      </c>
      <c r="J447" s="1" t="s">
        <v>23</v>
      </c>
      <c r="K447" s="1">
        <v>47093</v>
      </c>
      <c r="L447" s="1" t="s">
        <v>24</v>
      </c>
      <c r="M447" s="3" t="s">
        <v>18</v>
      </c>
      <c r="N447" s="1" t="str">
        <f>INDEX(Table3[#All], MATCH(Table13[[#This Row],[Dept_Id]], Table3[[#All],[Dept_Id]], 0), 1)</f>
        <v>Production</v>
      </c>
    </row>
    <row r="448" spans="1:14" x14ac:dyDescent="0.25">
      <c r="A448" s="2">
        <v>10267</v>
      </c>
      <c r="B448" s="1" t="s">
        <v>1531</v>
      </c>
      <c r="C448" s="1" t="s">
        <v>447</v>
      </c>
      <c r="D448" s="1" t="s">
        <v>1532</v>
      </c>
      <c r="E448" s="1" t="s">
        <v>13</v>
      </c>
      <c r="F448" s="1" t="s">
        <v>1533</v>
      </c>
      <c r="G448" s="1">
        <v>1</v>
      </c>
      <c r="H448" s="1" t="s">
        <v>35</v>
      </c>
      <c r="I448" s="1">
        <v>0</v>
      </c>
      <c r="J448" s="1" t="s">
        <v>23</v>
      </c>
      <c r="K448" s="1">
        <v>40000</v>
      </c>
      <c r="L448" s="1" t="s">
        <v>24</v>
      </c>
      <c r="M448" s="3" t="s">
        <v>55</v>
      </c>
      <c r="N448" s="1" t="str">
        <f>INDEX(Table3[#All], MATCH(Table13[[#This Row],[Dept_Id]], Table3[[#All],[Dept_Id]], 0), 1)</f>
        <v>Production</v>
      </c>
    </row>
    <row r="449" spans="1:14" x14ac:dyDescent="0.25">
      <c r="A449" s="2">
        <v>10966</v>
      </c>
      <c r="B449" s="1" t="s">
        <v>1534</v>
      </c>
      <c r="C449" s="1" t="s">
        <v>496</v>
      </c>
      <c r="D449" s="1" t="s">
        <v>1535</v>
      </c>
      <c r="E449" s="1" t="s">
        <v>13</v>
      </c>
      <c r="F449" s="1" t="s">
        <v>1536</v>
      </c>
      <c r="G449" s="1">
        <v>5</v>
      </c>
      <c r="H449" s="1" t="s">
        <v>35</v>
      </c>
      <c r="I449" s="1">
        <v>0</v>
      </c>
      <c r="J449" s="1" t="s">
        <v>23</v>
      </c>
      <c r="K449" s="1">
        <v>70464</v>
      </c>
      <c r="L449" s="1" t="s">
        <v>24</v>
      </c>
      <c r="M449" s="3" t="s">
        <v>41</v>
      </c>
      <c r="N449" s="1" t="str">
        <f>INDEX(Table3[#All], MATCH(Table13[[#This Row],[Dept_Id]], Table3[[#All],[Dept_Id]], 0), 1)</f>
        <v>Production</v>
      </c>
    </row>
    <row r="450" spans="1:14" x14ac:dyDescent="0.25">
      <c r="A450" s="2">
        <v>10966</v>
      </c>
      <c r="B450" s="1" t="s">
        <v>1534</v>
      </c>
      <c r="C450" s="1" t="s">
        <v>496</v>
      </c>
      <c r="D450" s="1" t="s">
        <v>1535</v>
      </c>
      <c r="E450" s="1" t="s">
        <v>13</v>
      </c>
      <c r="F450" s="1" t="s">
        <v>1536</v>
      </c>
      <c r="G450" s="1">
        <v>5</v>
      </c>
      <c r="H450" s="1" t="s">
        <v>35</v>
      </c>
      <c r="I450" s="1">
        <v>0</v>
      </c>
      <c r="J450" s="1" t="s">
        <v>23</v>
      </c>
      <c r="K450" s="1">
        <v>70464</v>
      </c>
      <c r="L450" s="1" t="s">
        <v>61</v>
      </c>
      <c r="M450" s="3" t="s">
        <v>41</v>
      </c>
      <c r="N450" s="1" t="str">
        <f>INDEX(Table3[#All], MATCH(Table13[[#This Row],[Dept_Id]], Table3[[#All],[Dept_Id]], 0), 1)</f>
        <v>Research</v>
      </c>
    </row>
    <row r="451" spans="1:14" x14ac:dyDescent="0.25">
      <c r="A451" s="2">
        <v>10268</v>
      </c>
      <c r="B451" s="1" t="s">
        <v>1537</v>
      </c>
      <c r="C451" s="1" t="s">
        <v>800</v>
      </c>
      <c r="D451" s="1" t="s">
        <v>1538</v>
      </c>
      <c r="E451" s="1" t="s">
        <v>13</v>
      </c>
      <c r="F451" s="1" t="s">
        <v>1539</v>
      </c>
      <c r="G451" s="1">
        <v>4</v>
      </c>
      <c r="H451" s="1" t="s">
        <v>35</v>
      </c>
      <c r="I451" s="1">
        <v>1</v>
      </c>
      <c r="J451" s="1" t="s">
        <v>1540</v>
      </c>
      <c r="K451" s="1">
        <v>41017</v>
      </c>
      <c r="L451" s="1" t="s">
        <v>24</v>
      </c>
      <c r="M451" s="3" t="s">
        <v>55</v>
      </c>
      <c r="N451" s="1" t="str">
        <f>INDEX(Table3[#All], MATCH(Table13[[#This Row],[Dept_Id]], Table3[[#All],[Dept_Id]], 0), 1)</f>
        <v>Production</v>
      </c>
    </row>
    <row r="452" spans="1:14" x14ac:dyDescent="0.25">
      <c r="A452" s="2">
        <v>10268</v>
      </c>
      <c r="B452" s="1" t="s">
        <v>1537</v>
      </c>
      <c r="C452" s="1" t="s">
        <v>800</v>
      </c>
      <c r="D452" s="1" t="s">
        <v>1538</v>
      </c>
      <c r="E452" s="1" t="s">
        <v>13</v>
      </c>
      <c r="F452" s="1" t="s">
        <v>1539</v>
      </c>
      <c r="G452" s="1">
        <v>4</v>
      </c>
      <c r="H452" s="1" t="s">
        <v>35</v>
      </c>
      <c r="I452" s="1">
        <v>1</v>
      </c>
      <c r="J452" s="1" t="s">
        <v>1540</v>
      </c>
      <c r="K452" s="1">
        <v>41017</v>
      </c>
      <c r="L452" s="1" t="s">
        <v>17</v>
      </c>
      <c r="M452" s="3" t="s">
        <v>55</v>
      </c>
      <c r="N452" s="1" t="str">
        <f>INDEX(Table3[#All], MATCH(Table13[[#This Row],[Dept_Id]], Table3[[#All],[Dept_Id]], 0), 1)</f>
        <v>Development</v>
      </c>
    </row>
    <row r="453" spans="1:14" x14ac:dyDescent="0.25">
      <c r="A453" s="2">
        <v>423740</v>
      </c>
      <c r="B453" s="1" t="s">
        <v>1541</v>
      </c>
      <c r="C453" s="1" t="s">
        <v>1542</v>
      </c>
      <c r="D453" s="1" t="s">
        <v>1543</v>
      </c>
      <c r="E453" s="1" t="s">
        <v>33</v>
      </c>
      <c r="F453" s="1" t="s">
        <v>1544</v>
      </c>
      <c r="G453" s="1">
        <v>3</v>
      </c>
      <c r="H453" s="1" t="s">
        <v>29</v>
      </c>
      <c r="I453" s="1">
        <v>0</v>
      </c>
      <c r="J453" s="1" t="s">
        <v>23</v>
      </c>
      <c r="K453" s="1">
        <v>46599</v>
      </c>
      <c r="L453" s="1" t="s">
        <v>17</v>
      </c>
      <c r="M453" s="3" t="s">
        <v>18</v>
      </c>
      <c r="N453" s="1" t="str">
        <f>INDEX(Table3[#All], MATCH(Table13[[#This Row],[Dept_Id]], Table3[[#All],[Dept_Id]], 0), 1)</f>
        <v>Development</v>
      </c>
    </row>
    <row r="454" spans="1:14" x14ac:dyDescent="0.25">
      <c r="A454" s="2">
        <v>10269</v>
      </c>
      <c r="B454" s="1" t="s">
        <v>1545</v>
      </c>
      <c r="C454" s="1" t="s">
        <v>1546</v>
      </c>
      <c r="D454" s="1" t="s">
        <v>1547</v>
      </c>
      <c r="E454" s="1" t="s">
        <v>33</v>
      </c>
      <c r="F454" s="1" t="s">
        <v>1548</v>
      </c>
      <c r="G454" s="1">
        <v>3</v>
      </c>
      <c r="H454" s="1" t="s">
        <v>29</v>
      </c>
      <c r="I454" s="1">
        <v>0</v>
      </c>
      <c r="J454" s="1" t="s">
        <v>23</v>
      </c>
      <c r="K454" s="1">
        <v>40000</v>
      </c>
      <c r="L454" s="1" t="s">
        <v>24</v>
      </c>
      <c r="M454" s="3" t="s">
        <v>18</v>
      </c>
      <c r="N454" s="1" t="str">
        <f>INDEX(Table3[#All], MATCH(Table13[[#This Row],[Dept_Id]], Table3[[#All],[Dept_Id]], 0), 1)</f>
        <v>Production</v>
      </c>
    </row>
    <row r="455" spans="1:14" x14ac:dyDescent="0.25">
      <c r="A455" s="2">
        <v>10270</v>
      </c>
      <c r="B455" s="1" t="s">
        <v>1549</v>
      </c>
      <c r="C455" s="1" t="s">
        <v>1550</v>
      </c>
      <c r="D455" s="1" t="s">
        <v>1551</v>
      </c>
      <c r="E455" s="1" t="s">
        <v>33</v>
      </c>
      <c r="F455" s="1" t="s">
        <v>1552</v>
      </c>
      <c r="G455" s="1">
        <v>2</v>
      </c>
      <c r="H455" s="1" t="s">
        <v>29</v>
      </c>
      <c r="I455" s="1">
        <v>0</v>
      </c>
      <c r="J455" s="1" t="s">
        <v>23</v>
      </c>
      <c r="K455" s="1">
        <v>42081</v>
      </c>
      <c r="L455" s="1" t="s">
        <v>40</v>
      </c>
      <c r="M455" s="3" t="s">
        <v>41</v>
      </c>
      <c r="N455" s="1" t="str">
        <f>INDEX(Table3[#All], MATCH(Table13[[#This Row],[Dept_Id]], Table3[[#All],[Dept_Id]], 0), 1)</f>
        <v>Sales</v>
      </c>
    </row>
    <row r="456" spans="1:14" x14ac:dyDescent="0.25">
      <c r="A456" s="2">
        <v>468180</v>
      </c>
      <c r="B456" s="1" t="s">
        <v>1553</v>
      </c>
      <c r="C456" s="1" t="s">
        <v>1320</v>
      </c>
      <c r="D456" s="1" t="s">
        <v>1554</v>
      </c>
      <c r="E456" s="1" t="s">
        <v>13</v>
      </c>
      <c r="F456" s="1" t="s">
        <v>1555</v>
      </c>
      <c r="G456" s="1">
        <v>7</v>
      </c>
      <c r="H456" s="1" t="s">
        <v>35</v>
      </c>
      <c r="I456" s="1">
        <v>0</v>
      </c>
      <c r="J456" s="1" t="s">
        <v>23</v>
      </c>
      <c r="K456" s="1">
        <v>59348</v>
      </c>
      <c r="L456" s="1" t="s">
        <v>89</v>
      </c>
      <c r="M456" s="3" t="s">
        <v>41</v>
      </c>
      <c r="N456" s="1" t="str">
        <f>INDEX(Table3[#All], MATCH(Table13[[#This Row],[Dept_Id]], Table3[[#All],[Dept_Id]], 0), 1)</f>
        <v>Customer Service</v>
      </c>
    </row>
    <row r="457" spans="1:14" x14ac:dyDescent="0.25">
      <c r="A457" s="2">
        <v>10271</v>
      </c>
      <c r="B457" s="1" t="s">
        <v>1556</v>
      </c>
      <c r="C457" s="1" t="s">
        <v>1557</v>
      </c>
      <c r="D457" s="1" t="s">
        <v>1558</v>
      </c>
      <c r="E457" s="1" t="s">
        <v>13</v>
      </c>
      <c r="F457" s="1" t="s">
        <v>1559</v>
      </c>
      <c r="G457" s="1">
        <v>6</v>
      </c>
      <c r="H457" s="1" t="s">
        <v>29</v>
      </c>
      <c r="I457" s="1">
        <v>0</v>
      </c>
      <c r="J457" s="1" t="s">
        <v>23</v>
      </c>
      <c r="K457" s="1">
        <v>53680</v>
      </c>
      <c r="L457" s="1" t="s">
        <v>17</v>
      </c>
      <c r="M457" s="3" t="s">
        <v>18</v>
      </c>
      <c r="N457" s="1" t="str">
        <f>INDEX(Table3[#All], MATCH(Table13[[#This Row],[Dept_Id]], Table3[[#All],[Dept_Id]], 0), 1)</f>
        <v>Development</v>
      </c>
    </row>
    <row r="458" spans="1:14" x14ac:dyDescent="0.25">
      <c r="A458" s="2">
        <v>10272</v>
      </c>
      <c r="B458" s="1" t="s">
        <v>1560</v>
      </c>
      <c r="C458" s="1" t="s">
        <v>1561</v>
      </c>
      <c r="D458" s="1" t="s">
        <v>1562</v>
      </c>
      <c r="E458" s="1" t="s">
        <v>13</v>
      </c>
      <c r="F458" s="1" t="s">
        <v>1563</v>
      </c>
      <c r="G458" s="1">
        <v>4</v>
      </c>
      <c r="H458" s="1" t="s">
        <v>29</v>
      </c>
      <c r="I458" s="1">
        <v>0</v>
      </c>
      <c r="J458" s="1" t="s">
        <v>23</v>
      </c>
      <c r="K458" s="1">
        <v>58070</v>
      </c>
      <c r="L458" s="1" t="s">
        <v>108</v>
      </c>
      <c r="M458" s="3" t="s">
        <v>41</v>
      </c>
      <c r="N458" s="1" t="str">
        <f>INDEX(Table3[#All], MATCH(Table13[[#This Row],[Dept_Id]], Table3[[#All],[Dept_Id]], 0), 1)</f>
        <v>Finance</v>
      </c>
    </row>
    <row r="459" spans="1:14" x14ac:dyDescent="0.25">
      <c r="A459" s="2">
        <v>207996</v>
      </c>
      <c r="B459" s="1" t="s">
        <v>1564</v>
      </c>
      <c r="C459" s="1" t="s">
        <v>1565</v>
      </c>
      <c r="D459" s="1" t="s">
        <v>764</v>
      </c>
      <c r="E459" s="1" t="s">
        <v>33</v>
      </c>
      <c r="F459" s="1" t="s">
        <v>961</v>
      </c>
      <c r="G459" s="1">
        <v>4</v>
      </c>
      <c r="H459" s="1" t="s">
        <v>15</v>
      </c>
      <c r="I459" s="1">
        <v>1</v>
      </c>
      <c r="J459" s="1" t="s">
        <v>1566</v>
      </c>
      <c r="K459" s="1">
        <v>63332</v>
      </c>
      <c r="L459" s="1" t="s">
        <v>108</v>
      </c>
      <c r="M459" s="3" t="s">
        <v>41</v>
      </c>
      <c r="N459" s="1" t="str">
        <f>INDEX(Table3[#All], MATCH(Table13[[#This Row],[Dept_Id]], Table3[[#All],[Dept_Id]], 0), 1)</f>
        <v>Finance</v>
      </c>
    </row>
    <row r="460" spans="1:14" x14ac:dyDescent="0.25">
      <c r="A460" s="2">
        <v>10273</v>
      </c>
      <c r="B460" s="1" t="s">
        <v>1567</v>
      </c>
      <c r="C460" s="1" t="s">
        <v>1568</v>
      </c>
      <c r="D460" s="1" t="s">
        <v>1569</v>
      </c>
      <c r="E460" s="1" t="s">
        <v>13</v>
      </c>
      <c r="F460" s="1" t="s">
        <v>1570</v>
      </c>
      <c r="G460" s="1">
        <v>1</v>
      </c>
      <c r="H460" s="1" t="s">
        <v>35</v>
      </c>
      <c r="I460" s="1">
        <v>0</v>
      </c>
      <c r="J460" s="1" t="s">
        <v>23</v>
      </c>
      <c r="K460" s="1">
        <v>75148</v>
      </c>
      <c r="L460" s="1" t="s">
        <v>40</v>
      </c>
      <c r="M460" s="3" t="s">
        <v>41</v>
      </c>
      <c r="N460" s="1" t="str">
        <f>INDEX(Table3[#All], MATCH(Table13[[#This Row],[Dept_Id]], Table3[[#All],[Dept_Id]], 0), 1)</f>
        <v>Sales</v>
      </c>
    </row>
    <row r="461" spans="1:14" x14ac:dyDescent="0.25">
      <c r="A461" s="2">
        <v>10274</v>
      </c>
      <c r="B461" s="1" t="s">
        <v>1571</v>
      </c>
      <c r="C461" s="1" t="s">
        <v>1572</v>
      </c>
      <c r="D461" s="1" t="s">
        <v>1573</v>
      </c>
      <c r="E461" s="1" t="s">
        <v>33</v>
      </c>
      <c r="F461" s="1" t="s">
        <v>1574</v>
      </c>
      <c r="G461" s="1">
        <v>7</v>
      </c>
      <c r="H461" s="1" t="s">
        <v>29</v>
      </c>
      <c r="I461" s="1">
        <v>0</v>
      </c>
      <c r="J461" s="1" t="s">
        <v>23</v>
      </c>
      <c r="K461" s="1">
        <v>86164</v>
      </c>
      <c r="L461" s="1" t="s">
        <v>17</v>
      </c>
      <c r="M461" s="3" t="s">
        <v>55</v>
      </c>
      <c r="N461" s="1" t="str">
        <f>INDEX(Table3[#All], MATCH(Table13[[#This Row],[Dept_Id]], Table3[[#All],[Dept_Id]], 0), 1)</f>
        <v>Development</v>
      </c>
    </row>
    <row r="462" spans="1:14" x14ac:dyDescent="0.25">
      <c r="A462" s="2">
        <v>286451</v>
      </c>
      <c r="B462" s="1" t="s">
        <v>1575</v>
      </c>
      <c r="C462" s="1" t="s">
        <v>135</v>
      </c>
      <c r="D462" s="1" t="s">
        <v>1576</v>
      </c>
      <c r="E462" s="1" t="s">
        <v>13</v>
      </c>
      <c r="F462" s="1" t="s">
        <v>1305</v>
      </c>
      <c r="G462" s="1">
        <v>3</v>
      </c>
      <c r="H462" s="1" t="s">
        <v>35</v>
      </c>
      <c r="I462" s="1">
        <v>0</v>
      </c>
      <c r="J462" s="1" t="s">
        <v>23</v>
      </c>
      <c r="K462" s="1">
        <v>40000</v>
      </c>
      <c r="L462" s="1" t="s">
        <v>24</v>
      </c>
      <c r="M462" s="3" t="s">
        <v>18</v>
      </c>
      <c r="N462" s="1" t="str">
        <f>INDEX(Table3[#All], MATCH(Table13[[#This Row],[Dept_Id]], Table3[[#All],[Dept_Id]], 0), 1)</f>
        <v>Production</v>
      </c>
    </row>
    <row r="463" spans="1:14" x14ac:dyDescent="0.25">
      <c r="A463" s="2">
        <v>10275</v>
      </c>
      <c r="B463" s="1" t="s">
        <v>1577</v>
      </c>
      <c r="C463" s="1" t="s">
        <v>1578</v>
      </c>
      <c r="D463" s="1" t="s">
        <v>1579</v>
      </c>
      <c r="E463" s="1" t="s">
        <v>33</v>
      </c>
      <c r="F463" s="1" t="s">
        <v>1580</v>
      </c>
      <c r="G463" s="1">
        <v>5</v>
      </c>
      <c r="H463" s="1" t="s">
        <v>370</v>
      </c>
      <c r="I463" s="1">
        <v>1</v>
      </c>
      <c r="J463" s="1" t="s">
        <v>1581</v>
      </c>
      <c r="K463" s="1">
        <v>40000</v>
      </c>
      <c r="L463" s="1" t="s">
        <v>17</v>
      </c>
      <c r="M463" s="3" t="s">
        <v>18</v>
      </c>
      <c r="N463" s="1" t="str">
        <f>INDEX(Table3[#All], MATCH(Table13[[#This Row],[Dept_Id]], Table3[[#All],[Dept_Id]], 0), 1)</f>
        <v>Development</v>
      </c>
    </row>
    <row r="464" spans="1:14" x14ac:dyDescent="0.25">
      <c r="A464" s="2">
        <v>10276</v>
      </c>
      <c r="B464" s="1" t="s">
        <v>1582</v>
      </c>
      <c r="C464" s="1" t="s">
        <v>1194</v>
      </c>
      <c r="D464" s="1" t="s">
        <v>1583</v>
      </c>
      <c r="E464" s="1" t="s">
        <v>13</v>
      </c>
      <c r="F464" s="1" t="s">
        <v>1584</v>
      </c>
      <c r="G464" s="1">
        <v>7</v>
      </c>
      <c r="H464" s="1" t="s">
        <v>138</v>
      </c>
      <c r="I464" s="1">
        <v>0</v>
      </c>
      <c r="J464" s="1" t="s">
        <v>23</v>
      </c>
      <c r="K464" s="1">
        <v>40000</v>
      </c>
      <c r="L464" s="1" t="s">
        <v>17</v>
      </c>
      <c r="M464" s="3" t="s">
        <v>18</v>
      </c>
      <c r="N464" s="1" t="str">
        <f>INDEX(Table3[#All], MATCH(Table13[[#This Row],[Dept_Id]], Table3[[#All],[Dept_Id]], 0), 1)</f>
        <v>Development</v>
      </c>
    </row>
    <row r="465" spans="1:14" x14ac:dyDescent="0.25">
      <c r="A465" s="2">
        <v>30871</v>
      </c>
      <c r="B465" s="1" t="s">
        <v>1585</v>
      </c>
      <c r="C465" s="1" t="s">
        <v>1586</v>
      </c>
      <c r="D465" s="1" t="s">
        <v>1587</v>
      </c>
      <c r="E465" s="1" t="s">
        <v>13</v>
      </c>
      <c r="F465" s="1" t="s">
        <v>1588</v>
      </c>
      <c r="G465" s="1">
        <v>1</v>
      </c>
      <c r="H465" s="1" t="s">
        <v>29</v>
      </c>
      <c r="I465" s="1">
        <v>0</v>
      </c>
      <c r="J465" s="1" t="s">
        <v>23</v>
      </c>
      <c r="K465" s="1">
        <v>40000</v>
      </c>
      <c r="L465" s="1" t="s">
        <v>24</v>
      </c>
      <c r="M465" s="3" t="s">
        <v>156</v>
      </c>
      <c r="N465" s="1" t="str">
        <f>INDEX(Table3[#All], MATCH(Table13[[#This Row],[Dept_Id]], Table3[[#All],[Dept_Id]], 0), 1)</f>
        <v>Production</v>
      </c>
    </row>
    <row r="466" spans="1:14" x14ac:dyDescent="0.25">
      <c r="A466" s="2">
        <v>10277</v>
      </c>
      <c r="B466" s="1" t="s">
        <v>1589</v>
      </c>
      <c r="C466" s="1" t="s">
        <v>1590</v>
      </c>
      <c r="D466" s="1" t="s">
        <v>1591</v>
      </c>
      <c r="E466" s="1" t="s">
        <v>13</v>
      </c>
      <c r="F466" s="1" t="s">
        <v>1592</v>
      </c>
      <c r="G466" s="1">
        <v>5</v>
      </c>
      <c r="H466" s="1" t="s">
        <v>29</v>
      </c>
      <c r="I466" s="1">
        <v>0</v>
      </c>
      <c r="J466" s="1" t="s">
        <v>23</v>
      </c>
      <c r="K466" s="1">
        <v>59534</v>
      </c>
      <c r="L466" s="1" t="s">
        <v>40</v>
      </c>
      <c r="M466" s="3" t="s">
        <v>41</v>
      </c>
      <c r="N466" s="1" t="str">
        <f>INDEX(Table3[#All], MATCH(Table13[[#This Row],[Dept_Id]], Table3[[#All],[Dept_Id]], 0), 1)</f>
        <v>Sales</v>
      </c>
    </row>
    <row r="467" spans="1:14" x14ac:dyDescent="0.25">
      <c r="A467" s="2">
        <v>10278</v>
      </c>
      <c r="B467" s="1" t="s">
        <v>1593</v>
      </c>
      <c r="C467" s="1" t="s">
        <v>1594</v>
      </c>
      <c r="D467" s="1" t="s">
        <v>341</v>
      </c>
      <c r="E467" s="1" t="s">
        <v>13</v>
      </c>
      <c r="F467" s="1" t="s">
        <v>1595</v>
      </c>
      <c r="G467" s="1">
        <v>9</v>
      </c>
      <c r="H467" s="1" t="s">
        <v>35</v>
      </c>
      <c r="I467" s="1">
        <v>0</v>
      </c>
      <c r="J467" s="1" t="s">
        <v>23</v>
      </c>
      <c r="K467" s="1">
        <v>51703</v>
      </c>
      <c r="L467" s="1" t="s">
        <v>17</v>
      </c>
      <c r="M467" s="3" t="s">
        <v>55</v>
      </c>
      <c r="N467" s="1" t="str">
        <f>INDEX(Table3[#All], MATCH(Table13[[#This Row],[Dept_Id]], Table3[[#All],[Dept_Id]], 0), 1)</f>
        <v>Development</v>
      </c>
    </row>
    <row r="468" spans="1:14" x14ac:dyDescent="0.25">
      <c r="A468" s="2">
        <v>260621</v>
      </c>
      <c r="B468" s="1" t="s">
        <v>1596</v>
      </c>
      <c r="C468" s="1" t="s">
        <v>1597</v>
      </c>
      <c r="D468" s="1" t="s">
        <v>1598</v>
      </c>
      <c r="E468" s="1" t="s">
        <v>13</v>
      </c>
      <c r="F468" s="1" t="s">
        <v>1599</v>
      </c>
      <c r="G468" s="1">
        <v>7</v>
      </c>
      <c r="H468" s="1" t="s">
        <v>138</v>
      </c>
      <c r="I468" s="1">
        <v>0</v>
      </c>
      <c r="J468" s="1" t="s">
        <v>23</v>
      </c>
      <c r="K468" s="1">
        <v>54758</v>
      </c>
      <c r="L468" s="1" t="s">
        <v>24</v>
      </c>
      <c r="M468" s="3" t="s">
        <v>18</v>
      </c>
      <c r="N468" s="1" t="str">
        <f>INDEX(Table3[#All], MATCH(Table13[[#This Row],[Dept_Id]], Table3[[#All],[Dept_Id]], 0), 1)</f>
        <v>Production</v>
      </c>
    </row>
    <row r="469" spans="1:14" x14ac:dyDescent="0.25">
      <c r="A469" s="2">
        <v>10279</v>
      </c>
      <c r="B469" s="1" t="s">
        <v>1600</v>
      </c>
      <c r="C469" s="1" t="s">
        <v>1601</v>
      </c>
      <c r="D469" s="1" t="s">
        <v>1602</v>
      </c>
      <c r="E469" s="1" t="s">
        <v>33</v>
      </c>
      <c r="F469" s="1" t="s">
        <v>1603</v>
      </c>
      <c r="G469" s="1">
        <v>10</v>
      </c>
      <c r="H469" s="1" t="s">
        <v>138</v>
      </c>
      <c r="I469" s="1">
        <v>0</v>
      </c>
      <c r="J469" s="1" t="s">
        <v>23</v>
      </c>
      <c r="K469" s="1">
        <v>40000</v>
      </c>
      <c r="L469" s="1" t="s">
        <v>24</v>
      </c>
      <c r="M469" s="3" t="s">
        <v>55</v>
      </c>
      <c r="N469" s="1" t="str">
        <f>INDEX(Table3[#All], MATCH(Table13[[#This Row],[Dept_Id]], Table3[[#All],[Dept_Id]], 0), 1)</f>
        <v>Production</v>
      </c>
    </row>
    <row r="470" spans="1:14" x14ac:dyDescent="0.25">
      <c r="A470" s="2">
        <v>10279</v>
      </c>
      <c r="B470" s="1" t="s">
        <v>1600</v>
      </c>
      <c r="C470" s="1" t="s">
        <v>1601</v>
      </c>
      <c r="D470" s="1" t="s">
        <v>1602</v>
      </c>
      <c r="E470" s="1" t="s">
        <v>33</v>
      </c>
      <c r="F470" s="1" t="s">
        <v>1603</v>
      </c>
      <c r="G470" s="1">
        <v>10</v>
      </c>
      <c r="H470" s="1" t="s">
        <v>138</v>
      </c>
      <c r="I470" s="1">
        <v>0</v>
      </c>
      <c r="J470" s="1" t="s">
        <v>23</v>
      </c>
      <c r="K470" s="1">
        <v>40000</v>
      </c>
      <c r="L470" s="1" t="s">
        <v>89</v>
      </c>
      <c r="M470" s="3" t="s">
        <v>55</v>
      </c>
      <c r="N470" s="1" t="str">
        <f>INDEX(Table3[#All], MATCH(Table13[[#This Row],[Dept_Id]], Table3[[#All],[Dept_Id]], 0), 1)</f>
        <v>Customer Service</v>
      </c>
    </row>
    <row r="471" spans="1:14" x14ac:dyDescent="0.25">
      <c r="A471" s="2">
        <v>24103</v>
      </c>
      <c r="B471" s="1" t="s">
        <v>1604</v>
      </c>
      <c r="C471" s="1" t="s">
        <v>575</v>
      </c>
      <c r="D471" s="1" t="s">
        <v>1605</v>
      </c>
      <c r="E471" s="1" t="s">
        <v>13</v>
      </c>
      <c r="F471" s="1" t="s">
        <v>1606</v>
      </c>
      <c r="G471" s="1">
        <v>4</v>
      </c>
      <c r="H471" s="1" t="s">
        <v>29</v>
      </c>
      <c r="I471" s="1">
        <v>0</v>
      </c>
      <c r="J471" s="1" t="s">
        <v>23</v>
      </c>
      <c r="K471" s="1">
        <v>40000</v>
      </c>
      <c r="L471" s="1" t="s">
        <v>89</v>
      </c>
      <c r="M471" s="3" t="s">
        <v>41</v>
      </c>
      <c r="N471" s="1" t="str">
        <f>INDEX(Table3[#All], MATCH(Table13[[#This Row],[Dept_Id]], Table3[[#All],[Dept_Id]], 0), 1)</f>
        <v>Customer Service</v>
      </c>
    </row>
    <row r="472" spans="1:14" x14ac:dyDescent="0.25">
      <c r="A472" s="2">
        <v>10280</v>
      </c>
      <c r="B472" s="1" t="s">
        <v>1607</v>
      </c>
      <c r="C472" s="1" t="s">
        <v>1043</v>
      </c>
      <c r="D472" s="1" t="s">
        <v>1608</v>
      </c>
      <c r="E472" s="1" t="s">
        <v>13</v>
      </c>
      <c r="F472" s="1" t="s">
        <v>1609</v>
      </c>
      <c r="G472" s="1">
        <v>2</v>
      </c>
      <c r="H472" s="1" t="s">
        <v>29</v>
      </c>
      <c r="I472" s="1">
        <v>0</v>
      </c>
      <c r="J472" s="1" t="s">
        <v>23</v>
      </c>
      <c r="K472" s="1">
        <v>66695</v>
      </c>
      <c r="L472" s="1" t="s">
        <v>46</v>
      </c>
      <c r="M472" s="3" t="s">
        <v>41</v>
      </c>
      <c r="N472" s="1" t="str">
        <f>INDEX(Table3[#All], MATCH(Table13[[#This Row],[Dept_Id]], Table3[[#All],[Dept_Id]], 0), 1)</f>
        <v>Human Resources</v>
      </c>
    </row>
    <row r="473" spans="1:14" x14ac:dyDescent="0.25">
      <c r="A473" s="2">
        <v>10281</v>
      </c>
      <c r="B473" s="1" t="s">
        <v>1610</v>
      </c>
      <c r="C473" s="1" t="s">
        <v>1611</v>
      </c>
      <c r="D473" s="1" t="s">
        <v>1612</v>
      </c>
      <c r="E473" s="1" t="s">
        <v>13</v>
      </c>
      <c r="F473" s="1" t="s">
        <v>1613</v>
      </c>
      <c r="G473" s="1">
        <v>8</v>
      </c>
      <c r="H473" s="1" t="s">
        <v>35</v>
      </c>
      <c r="I473" s="1">
        <v>0</v>
      </c>
      <c r="J473" s="1" t="s">
        <v>23</v>
      </c>
      <c r="K473" s="1">
        <v>46123</v>
      </c>
      <c r="L473" s="1" t="s">
        <v>71</v>
      </c>
      <c r="M473" s="3" t="s">
        <v>18</v>
      </c>
      <c r="N473" s="1" t="str">
        <f>INDEX(Table3[#All], MATCH(Table13[[#This Row],[Dept_Id]], Table3[[#All],[Dept_Id]], 0), 1)</f>
        <v>Quality Management</v>
      </c>
    </row>
    <row r="474" spans="1:14" x14ac:dyDescent="0.25">
      <c r="A474" s="2">
        <v>78524</v>
      </c>
      <c r="B474" s="1" t="s">
        <v>1614</v>
      </c>
      <c r="C474" s="1" t="s">
        <v>1615</v>
      </c>
      <c r="D474" s="1" t="s">
        <v>1616</v>
      </c>
      <c r="E474" s="1" t="s">
        <v>33</v>
      </c>
      <c r="F474" s="1" t="s">
        <v>1617</v>
      </c>
      <c r="G474" s="1">
        <v>5</v>
      </c>
      <c r="H474" s="1" t="s">
        <v>35</v>
      </c>
      <c r="I474" s="1">
        <v>1</v>
      </c>
      <c r="J474" s="1" t="s">
        <v>1618</v>
      </c>
      <c r="K474" s="1">
        <v>63123</v>
      </c>
      <c r="L474" s="1" t="s">
        <v>40</v>
      </c>
      <c r="M474" s="3" t="s">
        <v>41</v>
      </c>
      <c r="N474" s="1" t="str">
        <f>INDEX(Table3[#All], MATCH(Table13[[#This Row],[Dept_Id]], Table3[[#All],[Dept_Id]], 0), 1)</f>
        <v>Sales</v>
      </c>
    </row>
    <row r="475" spans="1:14" x14ac:dyDescent="0.25">
      <c r="A475" s="2">
        <v>10282</v>
      </c>
      <c r="B475" s="1" t="s">
        <v>1619</v>
      </c>
      <c r="C475" s="1" t="s">
        <v>1620</v>
      </c>
      <c r="D475" s="1" t="s">
        <v>1621</v>
      </c>
      <c r="E475" s="1" t="s">
        <v>13</v>
      </c>
      <c r="F475" s="1" t="s">
        <v>1622</v>
      </c>
      <c r="G475" s="1">
        <v>8</v>
      </c>
      <c r="H475" s="1" t="s">
        <v>29</v>
      </c>
      <c r="I475" s="1">
        <v>0</v>
      </c>
      <c r="J475" s="1" t="s">
        <v>23</v>
      </c>
      <c r="K475" s="1">
        <v>40000</v>
      </c>
      <c r="L475" s="1" t="s">
        <v>24</v>
      </c>
      <c r="M475" s="3" t="s">
        <v>55</v>
      </c>
      <c r="N475" s="1" t="str">
        <f>INDEX(Table3[#All], MATCH(Table13[[#This Row],[Dept_Id]], Table3[[#All],[Dept_Id]], 0), 1)</f>
        <v>Production</v>
      </c>
    </row>
    <row r="476" spans="1:14" x14ac:dyDescent="0.25">
      <c r="A476" s="2">
        <v>10283</v>
      </c>
      <c r="B476" s="1" t="s">
        <v>1623</v>
      </c>
      <c r="C476" s="1" t="s">
        <v>881</v>
      </c>
      <c r="D476" s="1" t="s">
        <v>1624</v>
      </c>
      <c r="E476" s="1" t="s">
        <v>13</v>
      </c>
      <c r="F476" s="1" t="s">
        <v>1625</v>
      </c>
      <c r="G476" s="1">
        <v>2</v>
      </c>
      <c r="H476" s="1" t="s">
        <v>15</v>
      </c>
      <c r="I476" s="1">
        <v>1</v>
      </c>
      <c r="J476" s="1" t="s">
        <v>1626</v>
      </c>
      <c r="K476" s="1">
        <v>40000</v>
      </c>
      <c r="L476" s="1" t="s">
        <v>17</v>
      </c>
      <c r="M476" s="3" t="s">
        <v>18</v>
      </c>
      <c r="N476" s="1" t="str">
        <f>INDEX(Table3[#All], MATCH(Table13[[#This Row],[Dept_Id]], Table3[[#All],[Dept_Id]], 0), 1)</f>
        <v>Development</v>
      </c>
    </row>
    <row r="477" spans="1:14" x14ac:dyDescent="0.25">
      <c r="A477" s="2">
        <v>10284</v>
      </c>
      <c r="B477" s="1" t="s">
        <v>1627</v>
      </c>
      <c r="C477" s="1" t="s">
        <v>401</v>
      </c>
      <c r="D477" s="1" t="s">
        <v>1628</v>
      </c>
      <c r="E477" s="1" t="s">
        <v>33</v>
      </c>
      <c r="F477" s="1" t="s">
        <v>1629</v>
      </c>
      <c r="G477" s="1">
        <v>6</v>
      </c>
      <c r="H477" s="1" t="s">
        <v>15</v>
      </c>
      <c r="I477" s="1">
        <v>0</v>
      </c>
      <c r="J477" s="1" t="s">
        <v>23</v>
      </c>
      <c r="K477" s="1">
        <v>40000</v>
      </c>
      <c r="L477" s="1" t="s">
        <v>24</v>
      </c>
      <c r="M477" s="3" t="s">
        <v>55</v>
      </c>
      <c r="N477" s="1" t="str">
        <f>INDEX(Table3[#All], MATCH(Table13[[#This Row],[Dept_Id]], Table3[[#All],[Dept_Id]], 0), 1)</f>
        <v>Production</v>
      </c>
    </row>
    <row r="478" spans="1:14" x14ac:dyDescent="0.25">
      <c r="A478" s="2">
        <v>10285</v>
      </c>
      <c r="B478" s="1" t="s">
        <v>1630</v>
      </c>
      <c r="C478" s="1" t="s">
        <v>599</v>
      </c>
      <c r="D478" s="1" t="s">
        <v>32</v>
      </c>
      <c r="E478" s="1" t="s">
        <v>33</v>
      </c>
      <c r="F478" s="1" t="s">
        <v>1631</v>
      </c>
      <c r="G478" s="1">
        <v>5</v>
      </c>
      <c r="H478" s="1" t="s">
        <v>29</v>
      </c>
      <c r="I478" s="1">
        <v>0</v>
      </c>
      <c r="J478" s="1" t="s">
        <v>23</v>
      </c>
      <c r="K478" s="1">
        <v>62075</v>
      </c>
      <c r="L478" s="1" t="s">
        <v>61</v>
      </c>
      <c r="M478" s="3" t="s">
        <v>41</v>
      </c>
      <c r="N478" s="1" t="str">
        <f>INDEX(Table3[#All], MATCH(Table13[[#This Row],[Dept_Id]], Table3[[#All],[Dept_Id]], 0), 1)</f>
        <v>Research</v>
      </c>
    </row>
    <row r="479" spans="1:14" x14ac:dyDescent="0.25">
      <c r="A479" s="2">
        <v>239616</v>
      </c>
      <c r="B479" s="1" t="s">
        <v>1632</v>
      </c>
      <c r="C479" s="1" t="s">
        <v>886</v>
      </c>
      <c r="D479" s="1" t="s">
        <v>1633</v>
      </c>
      <c r="E479" s="1" t="s">
        <v>13</v>
      </c>
      <c r="F479" s="1" t="s">
        <v>1634</v>
      </c>
      <c r="G479" s="1">
        <v>9</v>
      </c>
      <c r="H479" s="1" t="s">
        <v>29</v>
      </c>
      <c r="I479" s="1">
        <v>0</v>
      </c>
      <c r="J479" s="1" t="s">
        <v>23</v>
      </c>
      <c r="K479" s="1">
        <v>48836</v>
      </c>
      <c r="L479" s="1" t="s">
        <v>24</v>
      </c>
      <c r="M479" s="3" t="s">
        <v>156</v>
      </c>
      <c r="N479" s="1" t="str">
        <f>INDEX(Table3[#All], MATCH(Table13[[#This Row],[Dept_Id]], Table3[[#All],[Dept_Id]], 0), 1)</f>
        <v>Production</v>
      </c>
    </row>
    <row r="480" spans="1:14" x14ac:dyDescent="0.25">
      <c r="A480" s="2">
        <v>239616</v>
      </c>
      <c r="B480" s="1" t="s">
        <v>1632</v>
      </c>
      <c r="C480" s="1" t="s">
        <v>886</v>
      </c>
      <c r="D480" s="1" t="s">
        <v>1633</v>
      </c>
      <c r="E480" s="1" t="s">
        <v>13</v>
      </c>
      <c r="F480" s="1" t="s">
        <v>1634</v>
      </c>
      <c r="G480" s="1">
        <v>9</v>
      </c>
      <c r="H480" s="1" t="s">
        <v>29</v>
      </c>
      <c r="I480" s="1">
        <v>0</v>
      </c>
      <c r="J480" s="1" t="s">
        <v>23</v>
      </c>
      <c r="K480" s="1">
        <v>48836</v>
      </c>
      <c r="L480" s="1" t="s">
        <v>17</v>
      </c>
      <c r="M480" s="3" t="s">
        <v>156</v>
      </c>
      <c r="N480" s="1" t="str">
        <f>INDEX(Table3[#All], MATCH(Table13[[#This Row],[Dept_Id]], Table3[[#All],[Dept_Id]], 0), 1)</f>
        <v>Development</v>
      </c>
    </row>
    <row r="481" spans="1:14" x14ac:dyDescent="0.25">
      <c r="A481" s="2">
        <v>10286</v>
      </c>
      <c r="B481" s="1" t="s">
        <v>1635</v>
      </c>
      <c r="C481" s="1" t="s">
        <v>1636</v>
      </c>
      <c r="D481" s="1" t="s">
        <v>1637</v>
      </c>
      <c r="E481" s="1" t="s">
        <v>33</v>
      </c>
      <c r="F481" s="1" t="s">
        <v>1638</v>
      </c>
      <c r="G481" s="1">
        <v>10</v>
      </c>
      <c r="H481" s="1" t="s">
        <v>29</v>
      </c>
      <c r="I481" s="1">
        <v>1</v>
      </c>
      <c r="J481" s="1" t="s">
        <v>1639</v>
      </c>
      <c r="K481" s="1">
        <v>40000</v>
      </c>
      <c r="L481" s="1" t="s">
        <v>89</v>
      </c>
      <c r="M481" s="3" t="s">
        <v>41</v>
      </c>
      <c r="N481" s="1" t="str">
        <f>INDEX(Table3[#All], MATCH(Table13[[#This Row],[Dept_Id]], Table3[[#All],[Dept_Id]], 0), 1)</f>
        <v>Customer Service</v>
      </c>
    </row>
    <row r="482" spans="1:14" x14ac:dyDescent="0.25">
      <c r="A482" s="2">
        <v>10287</v>
      </c>
      <c r="B482" s="1" t="s">
        <v>1640</v>
      </c>
      <c r="C482" s="1" t="s">
        <v>1438</v>
      </c>
      <c r="D482" s="1" t="s">
        <v>829</v>
      </c>
      <c r="E482" s="1" t="s">
        <v>13</v>
      </c>
      <c r="F482" s="1" t="s">
        <v>631</v>
      </c>
      <c r="G482" s="1">
        <v>6</v>
      </c>
      <c r="H482" s="1" t="s">
        <v>35</v>
      </c>
      <c r="I482" s="1">
        <v>0</v>
      </c>
      <c r="J482" s="1" t="s">
        <v>23</v>
      </c>
      <c r="K482" s="1">
        <v>55732</v>
      </c>
      <c r="L482" s="1" t="s">
        <v>17</v>
      </c>
      <c r="M482" s="3" t="s">
        <v>41</v>
      </c>
      <c r="N482" s="1" t="str">
        <f>INDEX(Table3[#All], MATCH(Table13[[#This Row],[Dept_Id]], Table3[[#All],[Dept_Id]], 0), 1)</f>
        <v>Development</v>
      </c>
    </row>
    <row r="483" spans="1:14" x14ac:dyDescent="0.25">
      <c r="A483" s="2">
        <v>10287</v>
      </c>
      <c r="B483" s="1" t="s">
        <v>1640</v>
      </c>
      <c r="C483" s="1" t="s">
        <v>1438</v>
      </c>
      <c r="D483" s="1" t="s">
        <v>829</v>
      </c>
      <c r="E483" s="1" t="s">
        <v>13</v>
      </c>
      <c r="F483" s="1" t="s">
        <v>631</v>
      </c>
      <c r="G483" s="1">
        <v>6</v>
      </c>
      <c r="H483" s="1" t="s">
        <v>35</v>
      </c>
      <c r="I483" s="1">
        <v>0</v>
      </c>
      <c r="J483" s="1" t="s">
        <v>23</v>
      </c>
      <c r="K483" s="1">
        <v>55732</v>
      </c>
      <c r="L483" s="1" t="s">
        <v>61</v>
      </c>
      <c r="M483" s="3" t="s">
        <v>41</v>
      </c>
      <c r="N483" s="1" t="str">
        <f>INDEX(Table3[#All], MATCH(Table13[[#This Row],[Dept_Id]], Table3[[#All],[Dept_Id]], 0), 1)</f>
        <v>Research</v>
      </c>
    </row>
    <row r="484" spans="1:14" x14ac:dyDescent="0.25">
      <c r="A484" s="2">
        <v>469619</v>
      </c>
      <c r="B484" s="1" t="s">
        <v>1641</v>
      </c>
      <c r="C484" s="1" t="s">
        <v>1642</v>
      </c>
      <c r="D484" s="1" t="s">
        <v>1643</v>
      </c>
      <c r="E484" s="1" t="s">
        <v>13</v>
      </c>
      <c r="F484" s="1" t="s">
        <v>1644</v>
      </c>
      <c r="G484" s="1">
        <v>8</v>
      </c>
      <c r="H484" s="1" t="s">
        <v>15</v>
      </c>
      <c r="I484" s="1">
        <v>0</v>
      </c>
      <c r="J484" s="1" t="s">
        <v>23</v>
      </c>
      <c r="K484" s="1">
        <v>47456</v>
      </c>
      <c r="L484" s="1" t="s">
        <v>24</v>
      </c>
      <c r="M484" s="3" t="s">
        <v>18</v>
      </c>
      <c r="N484" s="1" t="str">
        <f>INDEX(Table3[#All], MATCH(Table13[[#This Row],[Dept_Id]], Table3[[#All],[Dept_Id]], 0), 1)</f>
        <v>Production</v>
      </c>
    </row>
    <row r="485" spans="1:14" x14ac:dyDescent="0.25">
      <c r="A485" s="2">
        <v>10288</v>
      </c>
      <c r="B485" s="1" t="s">
        <v>1645</v>
      </c>
      <c r="C485" s="1" t="s">
        <v>1646</v>
      </c>
      <c r="D485" s="1" t="s">
        <v>1647</v>
      </c>
      <c r="E485" s="1" t="s">
        <v>13</v>
      </c>
      <c r="F485" s="1" t="s">
        <v>1648</v>
      </c>
      <c r="G485" s="1">
        <v>8</v>
      </c>
      <c r="H485" s="1" t="s">
        <v>15</v>
      </c>
      <c r="I485" s="1">
        <v>0</v>
      </c>
      <c r="J485" s="1" t="s">
        <v>23</v>
      </c>
      <c r="K485" s="1">
        <v>80474</v>
      </c>
      <c r="L485" s="1" t="s">
        <v>24</v>
      </c>
      <c r="M485" s="3" t="s">
        <v>156</v>
      </c>
      <c r="N485" s="1" t="str">
        <f>INDEX(Table3[#All], MATCH(Table13[[#This Row],[Dept_Id]], Table3[[#All],[Dept_Id]], 0), 1)</f>
        <v>Production</v>
      </c>
    </row>
    <row r="486" spans="1:14" x14ac:dyDescent="0.25">
      <c r="A486" s="2">
        <v>36372</v>
      </c>
      <c r="B486" s="1" t="s">
        <v>1649</v>
      </c>
      <c r="C486" s="1" t="s">
        <v>1650</v>
      </c>
      <c r="D486" s="1" t="s">
        <v>1651</v>
      </c>
      <c r="E486" s="1" t="s">
        <v>33</v>
      </c>
      <c r="F486" s="1" t="s">
        <v>1652</v>
      </c>
      <c r="G486" s="1">
        <v>4</v>
      </c>
      <c r="H486" s="1" t="s">
        <v>138</v>
      </c>
      <c r="I486" s="1">
        <v>0</v>
      </c>
      <c r="J486" s="1" t="s">
        <v>23</v>
      </c>
      <c r="K486" s="1">
        <v>74338</v>
      </c>
      <c r="L486" s="1" t="s">
        <v>40</v>
      </c>
      <c r="M486" s="3" t="s">
        <v>102</v>
      </c>
      <c r="N486" s="1" t="str">
        <f>INDEX(Table3[#All], MATCH(Table13[[#This Row],[Dept_Id]], Table3[[#All],[Dept_Id]], 0), 1)</f>
        <v>Sales</v>
      </c>
    </row>
    <row r="487" spans="1:14" x14ac:dyDescent="0.25">
      <c r="A487" s="2">
        <v>10289</v>
      </c>
      <c r="B487" s="1" t="s">
        <v>1653</v>
      </c>
      <c r="C487" s="1" t="s">
        <v>1654</v>
      </c>
      <c r="D487" s="1" t="s">
        <v>1655</v>
      </c>
      <c r="E487" s="1" t="s">
        <v>13</v>
      </c>
      <c r="F487" s="1" t="s">
        <v>1656</v>
      </c>
      <c r="G487" s="1">
        <v>6</v>
      </c>
      <c r="H487" s="1" t="s">
        <v>29</v>
      </c>
      <c r="I487" s="1">
        <v>0</v>
      </c>
      <c r="J487" s="1" t="s">
        <v>23</v>
      </c>
      <c r="K487" s="1">
        <v>40000</v>
      </c>
      <c r="L487" s="1" t="s">
        <v>17</v>
      </c>
      <c r="M487" s="3" t="s">
        <v>156</v>
      </c>
      <c r="N487" s="1" t="str">
        <f>INDEX(Table3[#All], MATCH(Table13[[#This Row],[Dept_Id]], Table3[[#All],[Dept_Id]], 0), 1)</f>
        <v>Development</v>
      </c>
    </row>
    <row r="488" spans="1:14" x14ac:dyDescent="0.25">
      <c r="A488" s="2">
        <v>10290</v>
      </c>
      <c r="B488" s="1" t="s">
        <v>1657</v>
      </c>
      <c r="C488" s="1" t="s">
        <v>1658</v>
      </c>
      <c r="D488" s="1" t="s">
        <v>1659</v>
      </c>
      <c r="E488" s="1" t="s">
        <v>13</v>
      </c>
      <c r="F488" s="1" t="s">
        <v>1660</v>
      </c>
      <c r="G488" s="1">
        <v>5</v>
      </c>
      <c r="H488" s="1" t="s">
        <v>138</v>
      </c>
      <c r="I488" s="1">
        <v>0</v>
      </c>
      <c r="J488" s="1" t="s">
        <v>23</v>
      </c>
      <c r="K488" s="1">
        <v>44274</v>
      </c>
      <c r="L488" s="1" t="s">
        <v>17</v>
      </c>
      <c r="M488" s="3" t="s">
        <v>18</v>
      </c>
      <c r="N488" s="1" t="str">
        <f>INDEX(Table3[#All], MATCH(Table13[[#This Row],[Dept_Id]], Table3[[#All],[Dept_Id]], 0), 1)</f>
        <v>Development</v>
      </c>
    </row>
    <row r="489" spans="1:14" x14ac:dyDescent="0.25">
      <c r="A489" s="2">
        <v>260402</v>
      </c>
      <c r="B489" s="1" t="s">
        <v>1661</v>
      </c>
      <c r="C489" s="1" t="s">
        <v>1662</v>
      </c>
      <c r="D489" s="1" t="s">
        <v>1214</v>
      </c>
      <c r="E489" s="1" t="s">
        <v>13</v>
      </c>
      <c r="F489" s="1" t="s">
        <v>1663</v>
      </c>
      <c r="G489" s="1">
        <v>3</v>
      </c>
      <c r="H489" s="1" t="s">
        <v>15</v>
      </c>
      <c r="I489" s="1">
        <v>0</v>
      </c>
      <c r="J489" s="1" t="s">
        <v>23</v>
      </c>
      <c r="K489" s="1">
        <v>40000</v>
      </c>
      <c r="L489" s="1" t="s">
        <v>17</v>
      </c>
      <c r="M489" s="3" t="s">
        <v>18</v>
      </c>
      <c r="N489" s="1" t="str">
        <f>INDEX(Table3[#All], MATCH(Table13[[#This Row],[Dept_Id]], Table3[[#All],[Dept_Id]], 0), 1)</f>
        <v>Development</v>
      </c>
    </row>
    <row r="490" spans="1:14" x14ac:dyDescent="0.25">
      <c r="A490" s="2">
        <v>10291</v>
      </c>
      <c r="B490" s="1" t="s">
        <v>1664</v>
      </c>
      <c r="C490" s="1" t="s">
        <v>1665</v>
      </c>
      <c r="D490" s="1" t="s">
        <v>1666</v>
      </c>
      <c r="E490" s="1" t="s">
        <v>13</v>
      </c>
      <c r="F490" s="1" t="s">
        <v>1667</v>
      </c>
      <c r="G490" s="1">
        <v>1</v>
      </c>
      <c r="H490" s="1" t="s">
        <v>15</v>
      </c>
      <c r="I490" s="1">
        <v>0</v>
      </c>
      <c r="J490" s="1" t="s">
        <v>23</v>
      </c>
      <c r="K490" s="1">
        <v>57430</v>
      </c>
      <c r="L490" s="1" t="s">
        <v>40</v>
      </c>
      <c r="M490" s="3" t="s">
        <v>41</v>
      </c>
      <c r="N490" s="1" t="str">
        <f>INDEX(Table3[#All], MATCH(Table13[[#This Row],[Dept_Id]], Table3[[#All],[Dept_Id]], 0), 1)</f>
        <v>Sales</v>
      </c>
    </row>
    <row r="491" spans="1:14" x14ac:dyDescent="0.25">
      <c r="A491" s="2">
        <v>10292</v>
      </c>
      <c r="B491" s="1" t="s">
        <v>1668</v>
      </c>
      <c r="C491" s="1" t="s">
        <v>856</v>
      </c>
      <c r="D491" s="1" t="s">
        <v>1161</v>
      </c>
      <c r="E491" s="1" t="s">
        <v>33</v>
      </c>
      <c r="F491" s="1" t="s">
        <v>1669</v>
      </c>
      <c r="G491" s="1">
        <v>2</v>
      </c>
      <c r="H491" s="1" t="s">
        <v>29</v>
      </c>
      <c r="I491" s="1">
        <v>0</v>
      </c>
      <c r="J491" s="1" t="s">
        <v>23</v>
      </c>
      <c r="K491" s="1">
        <v>78370</v>
      </c>
      <c r="L491" s="1" t="s">
        <v>40</v>
      </c>
      <c r="M491" s="3" t="s">
        <v>41</v>
      </c>
      <c r="N491" s="1" t="str">
        <f>INDEX(Table3[#All], MATCH(Table13[[#This Row],[Dept_Id]], Table3[[#All],[Dept_Id]], 0), 1)</f>
        <v>Sales</v>
      </c>
    </row>
    <row r="492" spans="1:14" x14ac:dyDescent="0.25">
      <c r="A492" s="2">
        <v>469215</v>
      </c>
      <c r="B492" s="1" t="s">
        <v>1670</v>
      </c>
      <c r="C492" s="1" t="s">
        <v>1671</v>
      </c>
      <c r="D492" s="1" t="s">
        <v>1672</v>
      </c>
      <c r="E492" s="1" t="s">
        <v>33</v>
      </c>
      <c r="F492" s="1" t="s">
        <v>1673</v>
      </c>
      <c r="G492" s="1">
        <v>6</v>
      </c>
      <c r="H492" s="1" t="s">
        <v>35</v>
      </c>
      <c r="I492" s="1">
        <v>0</v>
      </c>
      <c r="J492" s="1" t="s">
        <v>23</v>
      </c>
      <c r="K492" s="1">
        <v>56042</v>
      </c>
      <c r="L492" s="1" t="s">
        <v>17</v>
      </c>
      <c r="M492" s="3" t="s">
        <v>55</v>
      </c>
      <c r="N492" s="1" t="str">
        <f>INDEX(Table3[#All], MATCH(Table13[[#This Row],[Dept_Id]], Table3[[#All],[Dept_Id]], 0), 1)</f>
        <v>Development</v>
      </c>
    </row>
    <row r="493" spans="1:14" x14ac:dyDescent="0.25">
      <c r="A493" s="2">
        <v>10293</v>
      </c>
      <c r="B493" s="1" t="s">
        <v>1674</v>
      </c>
      <c r="C493" s="1" t="s">
        <v>1096</v>
      </c>
      <c r="D493" s="1" t="s">
        <v>1675</v>
      </c>
      <c r="E493" s="1" t="s">
        <v>33</v>
      </c>
      <c r="F493" s="1" t="s">
        <v>1676</v>
      </c>
      <c r="G493" s="1">
        <v>3</v>
      </c>
      <c r="H493" s="1" t="s">
        <v>29</v>
      </c>
      <c r="I493" s="1">
        <v>0</v>
      </c>
      <c r="J493" s="1" t="s">
        <v>23</v>
      </c>
      <c r="K493" s="1">
        <v>44200</v>
      </c>
      <c r="L493" s="1" t="s">
        <v>24</v>
      </c>
      <c r="M493" s="3" t="s">
        <v>18</v>
      </c>
      <c r="N493" s="1" t="str">
        <f>INDEX(Table3[#All], MATCH(Table13[[#This Row],[Dept_Id]], Table3[[#All],[Dept_Id]], 0), 1)</f>
        <v>Production</v>
      </c>
    </row>
    <row r="494" spans="1:14" x14ac:dyDescent="0.25">
      <c r="A494" s="2">
        <v>10294</v>
      </c>
      <c r="B494" s="1" t="s">
        <v>1677</v>
      </c>
      <c r="C494" s="1" t="s">
        <v>1268</v>
      </c>
      <c r="D494" s="1" t="s">
        <v>1678</v>
      </c>
      <c r="E494" s="1" t="s">
        <v>13</v>
      </c>
      <c r="F494" s="1" t="s">
        <v>1679</v>
      </c>
      <c r="G494" s="1">
        <v>1</v>
      </c>
      <c r="H494" s="1" t="s">
        <v>15</v>
      </c>
      <c r="I494" s="1">
        <v>0</v>
      </c>
      <c r="J494" s="1" t="s">
        <v>23</v>
      </c>
      <c r="K494" s="1">
        <v>66448</v>
      </c>
      <c r="L494" s="1" t="s">
        <v>17</v>
      </c>
      <c r="M494" s="3" t="s">
        <v>18</v>
      </c>
      <c r="N494" s="1" t="str">
        <f>INDEX(Table3[#All], MATCH(Table13[[#This Row],[Dept_Id]], Table3[[#All],[Dept_Id]], 0), 1)</f>
        <v>Development</v>
      </c>
    </row>
    <row r="495" spans="1:14" x14ac:dyDescent="0.25">
      <c r="A495" s="2">
        <v>69005</v>
      </c>
      <c r="B495" s="1" t="s">
        <v>1680</v>
      </c>
      <c r="C495" s="1" t="s">
        <v>238</v>
      </c>
      <c r="D495" s="1" t="s">
        <v>1681</v>
      </c>
      <c r="E495" s="1" t="s">
        <v>13</v>
      </c>
      <c r="F495" s="1" t="s">
        <v>1682</v>
      </c>
      <c r="G495" s="1">
        <v>9</v>
      </c>
      <c r="H495" s="1" t="s">
        <v>15</v>
      </c>
      <c r="I495" s="1">
        <v>0</v>
      </c>
      <c r="J495" s="1" t="s">
        <v>23</v>
      </c>
      <c r="K495" s="1">
        <v>40000</v>
      </c>
      <c r="L495" s="1" t="s">
        <v>17</v>
      </c>
      <c r="M495" s="3" t="s">
        <v>18</v>
      </c>
      <c r="N495" s="1" t="str">
        <f>INDEX(Table3[#All], MATCH(Table13[[#This Row],[Dept_Id]], Table3[[#All],[Dept_Id]], 0), 1)</f>
        <v>Development</v>
      </c>
    </row>
    <row r="496" spans="1:14" x14ac:dyDescent="0.25">
      <c r="A496" s="2">
        <v>69005</v>
      </c>
      <c r="B496" s="1" t="s">
        <v>1680</v>
      </c>
      <c r="C496" s="1" t="s">
        <v>238</v>
      </c>
      <c r="D496" s="1" t="s">
        <v>1681</v>
      </c>
      <c r="E496" s="1" t="s">
        <v>13</v>
      </c>
      <c r="F496" s="1" t="s">
        <v>1682</v>
      </c>
      <c r="G496" s="1">
        <v>9</v>
      </c>
      <c r="H496" s="1" t="s">
        <v>15</v>
      </c>
      <c r="I496" s="1">
        <v>0</v>
      </c>
      <c r="J496" s="1" t="s">
        <v>23</v>
      </c>
      <c r="K496" s="1">
        <v>40000</v>
      </c>
      <c r="L496" s="1" t="s">
        <v>61</v>
      </c>
      <c r="M496" s="3" t="s">
        <v>18</v>
      </c>
      <c r="N496" s="1" t="str">
        <f>INDEX(Table3[#All], MATCH(Table13[[#This Row],[Dept_Id]], Table3[[#All],[Dept_Id]], 0), 1)</f>
        <v>Research</v>
      </c>
    </row>
    <row r="497" spans="1:14" x14ac:dyDescent="0.25">
      <c r="A497" s="2">
        <v>10295</v>
      </c>
      <c r="B497" s="1" t="s">
        <v>1683</v>
      </c>
      <c r="C497" s="1" t="s">
        <v>1684</v>
      </c>
      <c r="D497" s="1" t="s">
        <v>1685</v>
      </c>
      <c r="E497" s="1" t="s">
        <v>13</v>
      </c>
      <c r="F497" s="1" t="s">
        <v>1686</v>
      </c>
      <c r="G497" s="1">
        <v>1</v>
      </c>
      <c r="H497" s="1" t="s">
        <v>15</v>
      </c>
      <c r="I497" s="1">
        <v>0</v>
      </c>
      <c r="J497" s="1" t="s">
        <v>23</v>
      </c>
      <c r="K497" s="1">
        <v>46398</v>
      </c>
      <c r="L497" s="1" t="s">
        <v>108</v>
      </c>
      <c r="M497" s="3" t="s">
        <v>41</v>
      </c>
      <c r="N497" s="1" t="str">
        <f>INDEX(Table3[#All], MATCH(Table13[[#This Row],[Dept_Id]], Table3[[#All],[Dept_Id]], 0), 1)</f>
        <v>Finance</v>
      </c>
    </row>
    <row r="498" spans="1:14" x14ac:dyDescent="0.25">
      <c r="A498" s="2">
        <v>10296</v>
      </c>
      <c r="B498" s="1" t="s">
        <v>1687</v>
      </c>
      <c r="C498" s="1" t="s">
        <v>1688</v>
      </c>
      <c r="D498" s="1" t="s">
        <v>164</v>
      </c>
      <c r="E498" s="1" t="s">
        <v>13</v>
      </c>
      <c r="F498" s="1" t="s">
        <v>1689</v>
      </c>
      <c r="G498" s="1">
        <v>1</v>
      </c>
      <c r="H498" s="1" t="s">
        <v>35</v>
      </c>
      <c r="I498" s="1">
        <v>0</v>
      </c>
      <c r="J498" s="1" t="s">
        <v>23</v>
      </c>
      <c r="K498" s="1">
        <v>77788</v>
      </c>
      <c r="L498" s="1" t="s">
        <v>40</v>
      </c>
      <c r="M498" s="3" t="s">
        <v>41</v>
      </c>
      <c r="N498" s="1" t="str">
        <f>INDEX(Table3[#All], MATCH(Table13[[#This Row],[Dept_Id]], Table3[[#All],[Dept_Id]], 0), 1)</f>
        <v>Sales</v>
      </c>
    </row>
    <row r="499" spans="1:14" x14ac:dyDescent="0.25">
      <c r="A499" s="2">
        <v>279559</v>
      </c>
      <c r="B499" s="1" t="s">
        <v>1690</v>
      </c>
      <c r="C499" s="1" t="s">
        <v>1691</v>
      </c>
      <c r="D499" s="1" t="s">
        <v>1692</v>
      </c>
      <c r="E499" s="1" t="s">
        <v>33</v>
      </c>
      <c r="F499" s="1" t="s">
        <v>1693</v>
      </c>
      <c r="G499" s="1">
        <v>8</v>
      </c>
      <c r="H499" s="1" t="s">
        <v>35</v>
      </c>
      <c r="I499" s="1">
        <v>0</v>
      </c>
      <c r="J499" s="1" t="s">
        <v>23</v>
      </c>
      <c r="K499" s="1">
        <v>83729</v>
      </c>
      <c r="L499" s="1" t="s">
        <v>40</v>
      </c>
      <c r="M499" s="3" t="s">
        <v>41</v>
      </c>
      <c r="N499" s="1" t="str">
        <f>INDEX(Table3[#All], MATCH(Table13[[#This Row],[Dept_Id]], Table3[[#All],[Dept_Id]], 0), 1)</f>
        <v>Sales</v>
      </c>
    </row>
    <row r="500" spans="1:14" x14ac:dyDescent="0.25">
      <c r="A500" s="2">
        <v>279559</v>
      </c>
      <c r="B500" s="1" t="s">
        <v>1690</v>
      </c>
      <c r="C500" s="1" t="s">
        <v>1691</v>
      </c>
      <c r="D500" s="1" t="s">
        <v>1692</v>
      </c>
      <c r="E500" s="1" t="s">
        <v>33</v>
      </c>
      <c r="F500" s="1" t="s">
        <v>1693</v>
      </c>
      <c r="G500" s="1">
        <v>8</v>
      </c>
      <c r="H500" s="1" t="s">
        <v>35</v>
      </c>
      <c r="I500" s="1">
        <v>0</v>
      </c>
      <c r="J500" s="1" t="s">
        <v>23</v>
      </c>
      <c r="K500" s="1">
        <v>83729</v>
      </c>
      <c r="L500" s="1" t="s">
        <v>89</v>
      </c>
      <c r="M500" s="3" t="s">
        <v>41</v>
      </c>
      <c r="N500" s="1" t="str">
        <f>INDEX(Table3[#All], MATCH(Table13[[#This Row],[Dept_Id]], Table3[[#All],[Dept_Id]], 0), 1)</f>
        <v>Customer Service</v>
      </c>
    </row>
    <row r="501" spans="1:14" x14ac:dyDescent="0.25">
      <c r="A501" s="7">
        <v>10297</v>
      </c>
      <c r="B501" s="8" t="s">
        <v>1694</v>
      </c>
      <c r="C501" s="8" t="s">
        <v>1695</v>
      </c>
      <c r="D501" s="8" t="s">
        <v>1696</v>
      </c>
      <c r="E501" s="8" t="s">
        <v>33</v>
      </c>
      <c r="F501" s="8" t="s">
        <v>713</v>
      </c>
      <c r="G501" s="8">
        <v>9</v>
      </c>
      <c r="H501" s="8" t="s">
        <v>15</v>
      </c>
      <c r="I501" s="8">
        <v>0</v>
      </c>
      <c r="J501" s="8" t="s">
        <v>23</v>
      </c>
      <c r="K501" s="8">
        <v>63061</v>
      </c>
      <c r="L501" s="8" t="s">
        <v>24</v>
      </c>
      <c r="M501" s="9" t="s">
        <v>18</v>
      </c>
      <c r="N501" s="8" t="str">
        <f>INDEX(Table3[#All], MATCH(Table13[[#This Row],[Dept_Id]], Table3[[#All],[Dept_Id]], 0), 1)</f>
        <v>Production</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3AEC-E2F9-4A45-B452-EE8C5D88D8E3}">
  <dimension ref="A1:B10"/>
  <sheetViews>
    <sheetView zoomScale="160" workbookViewId="0">
      <selection activeCell="C9" sqref="C9"/>
    </sheetView>
  </sheetViews>
  <sheetFormatPr defaultRowHeight="15" x14ac:dyDescent="0.25"/>
  <cols>
    <col min="1" max="1" width="25.7109375" customWidth="1"/>
    <col min="2" max="2" width="9.28515625" customWidth="1"/>
  </cols>
  <sheetData>
    <row r="1" spans="1:2" x14ac:dyDescent="0.25">
      <c r="A1" s="3" t="s">
        <v>1697</v>
      </c>
      <c r="B1" s="5" t="s">
        <v>8</v>
      </c>
    </row>
    <row r="2" spans="1:2" x14ac:dyDescent="0.25">
      <c r="A2" s="1" t="s">
        <v>1698</v>
      </c>
      <c r="B2" s="1" t="s">
        <v>125</v>
      </c>
    </row>
    <row r="3" spans="1:2" x14ac:dyDescent="0.25">
      <c r="A3" s="1" t="s">
        <v>1699</v>
      </c>
      <c r="B3" s="1" t="s">
        <v>108</v>
      </c>
    </row>
    <row r="4" spans="1:2" x14ac:dyDescent="0.25">
      <c r="A4" s="1" t="s">
        <v>1700</v>
      </c>
      <c r="B4" s="1" t="s">
        <v>46</v>
      </c>
    </row>
    <row r="5" spans="1:2" x14ac:dyDescent="0.25">
      <c r="A5" s="1" t="s">
        <v>1701</v>
      </c>
      <c r="B5" s="1" t="s">
        <v>24</v>
      </c>
    </row>
    <row r="6" spans="1:2" x14ac:dyDescent="0.25">
      <c r="A6" s="1" t="s">
        <v>1729</v>
      </c>
      <c r="B6" s="1" t="s">
        <v>17</v>
      </c>
    </row>
    <row r="7" spans="1:2" x14ac:dyDescent="0.25">
      <c r="A7" s="1" t="s">
        <v>1702</v>
      </c>
      <c r="B7" s="1" t="s">
        <v>71</v>
      </c>
    </row>
    <row r="8" spans="1:2" x14ac:dyDescent="0.25">
      <c r="A8" s="1" t="s">
        <v>1703</v>
      </c>
      <c r="B8" s="1" t="s">
        <v>40</v>
      </c>
    </row>
    <row r="9" spans="1:2" x14ac:dyDescent="0.25">
      <c r="A9" s="1" t="s">
        <v>1704</v>
      </c>
      <c r="B9" s="1" t="s">
        <v>61</v>
      </c>
    </row>
    <row r="10" spans="1:2" x14ac:dyDescent="0.25">
      <c r="A10" s="1" t="s">
        <v>1705</v>
      </c>
      <c r="B10" s="1" t="s">
        <v>89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19C67-DA55-4003-B112-1E878FE98435}">
  <dimension ref="B1:J42"/>
  <sheetViews>
    <sheetView topLeftCell="B1" zoomScale="112" zoomScaleNormal="100" workbookViewId="0">
      <selection activeCell="C45" sqref="C45"/>
    </sheetView>
  </sheetViews>
  <sheetFormatPr defaultColWidth="8.85546875" defaultRowHeight="15.75" x14ac:dyDescent="0.25"/>
  <cols>
    <col min="1" max="2" width="8.85546875" style="10"/>
    <col min="3" max="3" width="30.85546875" style="10" customWidth="1"/>
    <col min="4" max="4" width="51.28515625" style="10" customWidth="1"/>
    <col min="5" max="5" width="12.7109375" style="10" customWidth="1"/>
    <col min="6" max="6" width="15" style="10" customWidth="1"/>
    <col min="7" max="7" width="30.28515625" style="10" customWidth="1"/>
    <col min="8" max="9" width="8.85546875" style="10"/>
    <col min="10" max="10" width="13.85546875" style="10" customWidth="1"/>
    <col min="11" max="11" width="25.28515625" style="10" customWidth="1"/>
    <col min="12" max="12" width="24" style="10" customWidth="1"/>
    <col min="13" max="16384" width="8.85546875" style="10"/>
  </cols>
  <sheetData>
    <row r="1" spans="2:10" ht="21" x14ac:dyDescent="0.35">
      <c r="B1" s="21" t="s">
        <v>1765</v>
      </c>
      <c r="C1" s="21"/>
      <c r="D1" s="21"/>
      <c r="E1" s="21"/>
      <c r="F1" s="21"/>
      <c r="G1" s="21"/>
      <c r="H1" s="21"/>
      <c r="I1" s="21"/>
      <c r="J1" s="21"/>
    </row>
    <row r="2" spans="2:10" x14ac:dyDescent="0.25">
      <c r="B2" s="10" t="s">
        <v>1766</v>
      </c>
    </row>
    <row r="3" spans="2:10" x14ac:dyDescent="0.25">
      <c r="B3" s="10" t="s">
        <v>1767</v>
      </c>
    </row>
    <row r="5" spans="2:10" x14ac:dyDescent="0.25">
      <c r="B5" s="10" t="s">
        <v>1768</v>
      </c>
    </row>
    <row r="6" spans="2:10" x14ac:dyDescent="0.25">
      <c r="B6" s="10" t="s">
        <v>1769</v>
      </c>
    </row>
    <row r="8" spans="2:10" ht="21" x14ac:dyDescent="0.35">
      <c r="B8" s="21" t="s">
        <v>1775</v>
      </c>
      <c r="C8" s="21"/>
      <c r="D8" s="21"/>
      <c r="E8" s="21"/>
      <c r="F8" s="21"/>
      <c r="G8" s="21"/>
      <c r="H8" s="21"/>
      <c r="I8" s="21"/>
      <c r="J8" s="21"/>
    </row>
    <row r="10" spans="2:10" x14ac:dyDescent="0.25">
      <c r="B10" s="10" t="s">
        <v>1770</v>
      </c>
    </row>
    <row r="11" spans="2:10" x14ac:dyDescent="0.25">
      <c r="C11" s="10" t="s">
        <v>1771</v>
      </c>
    </row>
    <row r="12" spans="2:10" x14ac:dyDescent="0.25">
      <c r="C12" s="10" t="s">
        <v>1772</v>
      </c>
    </row>
    <row r="13" spans="2:10" x14ac:dyDescent="0.25">
      <c r="C13" s="10" t="s">
        <v>1773</v>
      </c>
    </row>
    <row r="14" spans="2:10" x14ac:dyDescent="0.25">
      <c r="C14" s="10" t="s">
        <v>1774</v>
      </c>
    </row>
    <row r="16" spans="2:10" ht="21" x14ac:dyDescent="0.35">
      <c r="B16" s="21" t="s">
        <v>1776</v>
      </c>
      <c r="C16" s="21"/>
      <c r="D16" s="21"/>
      <c r="E16" s="21"/>
      <c r="F16" s="21"/>
      <c r="G16" s="21"/>
      <c r="H16" s="21"/>
      <c r="I16" s="21"/>
      <c r="J16" s="21"/>
    </row>
    <row r="18" spans="3:7" ht="18.75" x14ac:dyDescent="0.3">
      <c r="C18" s="16" t="s">
        <v>1711</v>
      </c>
      <c r="D18" s="12"/>
      <c r="F18" s="16" t="s">
        <v>1724</v>
      </c>
      <c r="G18" s="12"/>
    </row>
    <row r="19" spans="3:7" ht="18.75" x14ac:dyDescent="0.3">
      <c r="C19" s="17" t="s">
        <v>1764</v>
      </c>
      <c r="D19" s="17" t="s">
        <v>1753</v>
      </c>
      <c r="F19" s="17" t="s">
        <v>1764</v>
      </c>
      <c r="G19" s="17" t="s">
        <v>1753</v>
      </c>
    </row>
    <row r="20" spans="3:7" ht="18.75" x14ac:dyDescent="0.3">
      <c r="C20" s="18" t="s">
        <v>0</v>
      </c>
      <c r="D20" s="19" t="s">
        <v>1712</v>
      </c>
      <c r="F20" s="18" t="s">
        <v>1725</v>
      </c>
      <c r="G20" s="19" t="s">
        <v>1726</v>
      </c>
    </row>
    <row r="21" spans="3:7" ht="18.75" x14ac:dyDescent="0.3">
      <c r="C21" s="18" t="s">
        <v>1707</v>
      </c>
      <c r="D21" s="19" t="s">
        <v>1713</v>
      </c>
      <c r="F21" s="18" t="s">
        <v>1697</v>
      </c>
      <c r="G21" s="19" t="s">
        <v>1727</v>
      </c>
    </row>
    <row r="22" spans="3:7" ht="18.75" x14ac:dyDescent="0.3">
      <c r="C22" s="18" t="s">
        <v>1</v>
      </c>
      <c r="D22" s="19" t="s">
        <v>1714</v>
      </c>
    </row>
    <row r="23" spans="3:7" ht="18.75" x14ac:dyDescent="0.3">
      <c r="C23" s="18" t="s">
        <v>2</v>
      </c>
      <c r="D23" s="19" t="s">
        <v>1715</v>
      </c>
    </row>
    <row r="24" spans="3:7" ht="18.75" x14ac:dyDescent="0.3">
      <c r="C24" s="18" t="s">
        <v>3</v>
      </c>
      <c r="D24" s="19" t="s">
        <v>1716</v>
      </c>
    </row>
    <row r="25" spans="3:7" ht="18.75" x14ac:dyDescent="0.3">
      <c r="C25" s="18" t="s">
        <v>4</v>
      </c>
      <c r="D25" s="19" t="s">
        <v>1717</v>
      </c>
    </row>
    <row r="26" spans="3:7" ht="18.75" x14ac:dyDescent="0.3">
      <c r="C26" s="18" t="s">
        <v>5</v>
      </c>
      <c r="D26" s="19" t="s">
        <v>1718</v>
      </c>
    </row>
    <row r="27" spans="3:7" ht="18.75" x14ac:dyDescent="0.3">
      <c r="C27" s="18" t="s">
        <v>6</v>
      </c>
      <c r="D27" s="19" t="s">
        <v>1749</v>
      </c>
    </row>
    <row r="28" spans="3:7" ht="18.75" x14ac:dyDescent="0.3">
      <c r="C28" s="18" t="s">
        <v>1706</v>
      </c>
      <c r="D28" s="19" t="s">
        <v>1719</v>
      </c>
    </row>
    <row r="29" spans="3:7" ht="18.75" x14ac:dyDescent="0.3">
      <c r="C29" s="18" t="s">
        <v>7</v>
      </c>
      <c r="D29" s="19" t="s">
        <v>1720</v>
      </c>
    </row>
    <row r="30" spans="3:7" ht="18.75" x14ac:dyDescent="0.3">
      <c r="C30" s="18" t="s">
        <v>1708</v>
      </c>
      <c r="D30" s="19" t="s">
        <v>1721</v>
      </c>
    </row>
    <row r="31" spans="3:7" ht="18.75" x14ac:dyDescent="0.3">
      <c r="C31" s="18" t="s">
        <v>8</v>
      </c>
      <c r="D31" s="19" t="s">
        <v>1722</v>
      </c>
    </row>
    <row r="32" spans="3:7" ht="18.75" x14ac:dyDescent="0.3">
      <c r="C32" s="18" t="s">
        <v>9</v>
      </c>
      <c r="D32" s="19" t="s">
        <v>1723</v>
      </c>
    </row>
    <row r="35" spans="3:6" ht="18.75" x14ac:dyDescent="0.3">
      <c r="C35" s="20" t="s">
        <v>1750</v>
      </c>
      <c r="D35" s="12"/>
      <c r="E35" s="12"/>
      <c r="F35" s="12"/>
    </row>
    <row r="36" spans="3:6" ht="18.75" x14ac:dyDescent="0.3">
      <c r="C36" s="12"/>
      <c r="D36" s="12"/>
      <c r="E36" s="12"/>
      <c r="F36" s="12"/>
    </row>
    <row r="37" spans="3:6" ht="18.75" x14ac:dyDescent="0.3">
      <c r="C37" s="11" t="s">
        <v>1751</v>
      </c>
      <c r="D37" s="11" t="s">
        <v>1752</v>
      </c>
      <c r="E37" s="11" t="s">
        <v>1753</v>
      </c>
      <c r="F37" s="12"/>
    </row>
    <row r="38" spans="3:6" ht="18.75" x14ac:dyDescent="0.3">
      <c r="C38" s="10" t="s">
        <v>29</v>
      </c>
      <c r="D38" s="10" t="s">
        <v>1754</v>
      </c>
      <c r="E38" s="10" t="s">
        <v>1755</v>
      </c>
      <c r="F38" s="12"/>
    </row>
    <row r="39" spans="3:6" ht="18.75" x14ac:dyDescent="0.3">
      <c r="C39" s="10" t="s">
        <v>35</v>
      </c>
      <c r="D39" s="10" t="s">
        <v>1756</v>
      </c>
      <c r="E39" s="10" t="s">
        <v>1757</v>
      </c>
      <c r="F39" s="12"/>
    </row>
    <row r="40" spans="3:6" ht="18.75" x14ac:dyDescent="0.3">
      <c r="C40" s="10" t="s">
        <v>15</v>
      </c>
      <c r="D40" s="10" t="s">
        <v>1758</v>
      </c>
      <c r="E40" s="10" t="s">
        <v>1759</v>
      </c>
      <c r="F40" s="12"/>
    </row>
    <row r="41" spans="3:6" ht="18.75" x14ac:dyDescent="0.3">
      <c r="C41" s="10" t="s">
        <v>138</v>
      </c>
      <c r="D41" s="10" t="s">
        <v>1760</v>
      </c>
      <c r="E41" s="10" t="s">
        <v>1761</v>
      </c>
      <c r="F41" s="12"/>
    </row>
    <row r="42" spans="3:6" ht="18.75" x14ac:dyDescent="0.3">
      <c r="C42" s="10" t="s">
        <v>370</v>
      </c>
      <c r="D42" s="10" t="s">
        <v>1762</v>
      </c>
      <c r="E42" s="10" t="s">
        <v>1763</v>
      </c>
      <c r="F42" s="12"/>
    </row>
  </sheetData>
  <mergeCells count="3">
    <mergeCell ref="B1:J1"/>
    <mergeCell ref="B8:J8"/>
    <mergeCell ref="B16:J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86A7-92FB-4681-AA2A-053890ABED8E}">
  <dimension ref="B2:F29"/>
  <sheetViews>
    <sheetView topLeftCell="A22" zoomScale="99" workbookViewId="0">
      <selection activeCell="B28" sqref="B28"/>
    </sheetView>
  </sheetViews>
  <sheetFormatPr defaultColWidth="8.85546875" defaultRowHeight="15.75" x14ac:dyDescent="0.25"/>
  <cols>
    <col min="1" max="16384" width="8.85546875" style="10"/>
  </cols>
  <sheetData>
    <row r="2" spans="2:6" ht="21" x14ac:dyDescent="0.35">
      <c r="D2" s="15" t="s">
        <v>1747</v>
      </c>
    </row>
    <row r="4" spans="2:6" ht="18.75" x14ac:dyDescent="0.3">
      <c r="B4" s="12" t="s">
        <v>1728</v>
      </c>
      <c r="C4" s="12"/>
      <c r="D4" s="12"/>
      <c r="E4" s="12"/>
      <c r="F4" s="12"/>
    </row>
    <row r="5" spans="2:6" ht="18.75" x14ac:dyDescent="0.3">
      <c r="B5" s="12" t="s">
        <v>1709</v>
      </c>
      <c r="C5" s="12"/>
      <c r="D5" s="12"/>
      <c r="E5" s="12"/>
      <c r="F5" s="12"/>
    </row>
    <row r="6" spans="2:6" ht="18.75" x14ac:dyDescent="0.3">
      <c r="B6" s="12" t="s">
        <v>1710</v>
      </c>
      <c r="C6" s="12"/>
      <c r="D6" s="12"/>
      <c r="E6" s="12"/>
      <c r="F6" s="12"/>
    </row>
    <row r="7" spans="2:6" ht="18.75" x14ac:dyDescent="0.3">
      <c r="B7" s="12"/>
      <c r="C7" s="12" t="s">
        <v>1744</v>
      </c>
      <c r="D7" s="12"/>
      <c r="E7" s="12"/>
      <c r="F7" s="12"/>
    </row>
    <row r="8" spans="2:6" ht="18.75" x14ac:dyDescent="0.3">
      <c r="B8" s="12"/>
      <c r="C8" s="12" t="s">
        <v>1745</v>
      </c>
      <c r="D8" s="12"/>
      <c r="E8" s="12"/>
      <c r="F8" s="12"/>
    </row>
    <row r="9" spans="2:6" ht="18.75" x14ac:dyDescent="0.3">
      <c r="B9" s="12"/>
      <c r="C9" s="12" t="s">
        <v>1746</v>
      </c>
      <c r="D9" s="12"/>
      <c r="E9" s="12"/>
      <c r="F9" s="12"/>
    </row>
    <row r="10" spans="2:6" ht="18.75" x14ac:dyDescent="0.3">
      <c r="B10" s="12"/>
      <c r="C10" s="12"/>
      <c r="D10" s="12"/>
      <c r="E10" s="12"/>
      <c r="F10" s="12"/>
    </row>
    <row r="11" spans="2:6" ht="18.75" x14ac:dyDescent="0.3">
      <c r="B11" s="12" t="s">
        <v>1730</v>
      </c>
      <c r="C11" s="12"/>
      <c r="D11" s="12"/>
      <c r="E11" s="12"/>
      <c r="F11" s="12"/>
    </row>
    <row r="12" spans="2:6" ht="18.75" x14ac:dyDescent="0.3">
      <c r="B12" s="12"/>
      <c r="C12" s="13" t="s">
        <v>1732</v>
      </c>
      <c r="D12" s="12"/>
      <c r="E12" s="12"/>
      <c r="F12" s="12"/>
    </row>
    <row r="13" spans="2:6" ht="18.75" x14ac:dyDescent="0.3">
      <c r="B13" s="12"/>
      <c r="C13" s="14" t="s">
        <v>1748</v>
      </c>
      <c r="D13" s="12"/>
      <c r="E13" s="12"/>
      <c r="F13" s="12"/>
    </row>
    <row r="14" spans="2:6" ht="18.75" x14ac:dyDescent="0.3">
      <c r="B14" s="12"/>
      <c r="C14" s="14" t="s">
        <v>1731</v>
      </c>
      <c r="D14" s="12"/>
      <c r="E14" s="12"/>
      <c r="F14" s="12"/>
    </row>
    <row r="15" spans="2:6" ht="18.75" x14ac:dyDescent="0.3">
      <c r="B15" s="12"/>
      <c r="C15" s="12"/>
      <c r="D15" s="12"/>
      <c r="E15" s="12"/>
      <c r="F15" s="12"/>
    </row>
    <row r="16" spans="2:6" ht="18.75" x14ac:dyDescent="0.3">
      <c r="B16" s="12"/>
      <c r="C16" s="13" t="s">
        <v>1735</v>
      </c>
      <c r="D16" s="12"/>
      <c r="E16" s="12"/>
      <c r="F16" s="12"/>
    </row>
    <row r="17" spans="2:6" ht="18.75" x14ac:dyDescent="0.3">
      <c r="B17" s="12"/>
      <c r="C17" s="14" t="s">
        <v>1733</v>
      </c>
      <c r="D17" s="12"/>
      <c r="E17" s="12"/>
      <c r="F17" s="12"/>
    </row>
    <row r="18" spans="2:6" ht="18.75" x14ac:dyDescent="0.3">
      <c r="B18" s="12"/>
      <c r="C18" s="14" t="s">
        <v>1734</v>
      </c>
      <c r="D18" s="12"/>
      <c r="E18" s="12"/>
      <c r="F18" s="12"/>
    </row>
    <row r="19" spans="2:6" ht="18.75" x14ac:dyDescent="0.3">
      <c r="B19" s="12"/>
      <c r="C19" s="12"/>
      <c r="D19" s="12"/>
      <c r="E19" s="12"/>
      <c r="F19" s="12"/>
    </row>
    <row r="20" spans="2:6" ht="18.75" x14ac:dyDescent="0.3">
      <c r="B20" s="12"/>
      <c r="C20" s="13" t="s">
        <v>1738</v>
      </c>
      <c r="D20" s="12"/>
      <c r="E20" s="12"/>
      <c r="F20" s="12"/>
    </row>
    <row r="21" spans="2:6" ht="18.75" x14ac:dyDescent="0.3">
      <c r="B21" s="12"/>
      <c r="C21" s="14" t="s">
        <v>1736</v>
      </c>
      <c r="D21" s="12"/>
      <c r="E21" s="12"/>
      <c r="F21" s="12"/>
    </row>
    <row r="22" spans="2:6" ht="18.75" x14ac:dyDescent="0.3">
      <c r="B22" s="12"/>
      <c r="C22" s="14" t="s">
        <v>1737</v>
      </c>
      <c r="D22" s="12"/>
      <c r="E22" s="12"/>
      <c r="F22" s="12"/>
    </row>
    <row r="23" spans="2:6" ht="18.75" x14ac:dyDescent="0.3">
      <c r="B23" s="12"/>
      <c r="C23" s="12"/>
      <c r="D23" s="12"/>
      <c r="E23" s="12"/>
      <c r="F23" s="12"/>
    </row>
    <row r="24" spans="2:6" ht="18.75" x14ac:dyDescent="0.3">
      <c r="B24" s="12"/>
      <c r="C24" s="13" t="s">
        <v>1741</v>
      </c>
      <c r="D24" s="12"/>
      <c r="E24" s="12"/>
      <c r="F24" s="12"/>
    </row>
    <row r="25" spans="2:6" ht="18.75" x14ac:dyDescent="0.3">
      <c r="B25" s="12"/>
      <c r="C25" s="14" t="s">
        <v>1739</v>
      </c>
      <c r="D25" s="12"/>
      <c r="E25" s="12"/>
      <c r="F25" s="12"/>
    </row>
    <row r="26" spans="2:6" ht="18.75" x14ac:dyDescent="0.3">
      <c r="B26" s="12"/>
      <c r="C26" s="14" t="s">
        <v>1740</v>
      </c>
      <c r="D26" s="12"/>
      <c r="E26" s="12"/>
      <c r="F26" s="12"/>
    </row>
    <row r="27" spans="2:6" ht="18.75" x14ac:dyDescent="0.3">
      <c r="B27" s="12"/>
      <c r="C27" s="12"/>
      <c r="D27" s="12"/>
      <c r="E27" s="12"/>
      <c r="F27" s="12"/>
    </row>
    <row r="28" spans="2:6" ht="18.75" x14ac:dyDescent="0.3">
      <c r="B28" s="12" t="s">
        <v>1742</v>
      </c>
      <c r="C28" s="12"/>
      <c r="D28" s="12"/>
      <c r="E28" s="12"/>
      <c r="F28" s="12"/>
    </row>
    <row r="29" spans="2:6" ht="18.75" x14ac:dyDescent="0.3">
      <c r="B29" s="12"/>
      <c r="C29" s="12"/>
      <c r="D29" s="12" t="s">
        <v>1743</v>
      </c>
      <c r="E29" s="12"/>
      <c r="F29"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8B04-5644-4E29-A15F-BFB844B3D00E}">
  <dimension ref="B3:M79"/>
  <sheetViews>
    <sheetView topLeftCell="D11" zoomScale="139" zoomScaleNormal="120" workbookViewId="0">
      <selection activeCell="M4" sqref="M4"/>
    </sheetView>
  </sheetViews>
  <sheetFormatPr defaultRowHeight="15" x14ac:dyDescent="0.25"/>
  <cols>
    <col min="3" max="3" width="14.85546875" bestFit="1" customWidth="1"/>
    <col min="4" max="4" width="11.140625" bestFit="1" customWidth="1"/>
    <col min="8" max="8" width="19.85546875" bestFit="1" customWidth="1"/>
    <col min="9" max="9" width="17.85546875" bestFit="1" customWidth="1"/>
    <col min="10" max="10" width="11.7109375" bestFit="1" customWidth="1"/>
    <col min="11" max="11" width="4.28515625" bestFit="1" customWidth="1"/>
    <col min="12" max="12" width="23.42578125" bestFit="1" customWidth="1"/>
    <col min="13" max="13" width="17.85546875" bestFit="1" customWidth="1"/>
  </cols>
  <sheetData>
    <row r="3" spans="2:11" x14ac:dyDescent="0.25">
      <c r="B3" s="26" t="s">
        <v>1778</v>
      </c>
      <c r="I3" s="26" t="s">
        <v>1779</v>
      </c>
      <c r="J3" s="26" t="s">
        <v>1780</v>
      </c>
    </row>
    <row r="4" spans="2:11" ht="15.75" x14ac:dyDescent="0.25">
      <c r="C4" s="10" t="s">
        <v>1744</v>
      </c>
      <c r="I4">
        <f>SUM(Table15[Left?])</f>
        <v>44</v>
      </c>
      <c r="J4">
        <f>COUNTIFS(Table15[Left?], 1)</f>
        <v>44</v>
      </c>
    </row>
    <row r="5" spans="2:11" ht="15.75" x14ac:dyDescent="0.25">
      <c r="C5" s="10" t="s">
        <v>1745</v>
      </c>
      <c r="I5">
        <f>COUNTIFS(Table15[Title], 'New_employee(Cleaned)'!$M$487)</f>
        <v>29</v>
      </c>
    </row>
    <row r="6" spans="2:11" ht="15.75" x14ac:dyDescent="0.25">
      <c r="C6" s="10" t="s">
        <v>1746</v>
      </c>
      <c r="I6">
        <f>COUNTIFS(Table15[Left?], 0)</f>
        <v>456</v>
      </c>
      <c r="J6">
        <f>I7-I4</f>
        <v>456</v>
      </c>
      <c r="K6">
        <f>COUNTBLANK(Table15[last_date])</f>
        <v>456</v>
      </c>
    </row>
    <row r="7" spans="2:11" ht="15.75" x14ac:dyDescent="0.25">
      <c r="C7" s="10" t="s">
        <v>1781</v>
      </c>
      <c r="I7">
        <f>COUNTA(Table1[Emp_Id])</f>
        <v>500</v>
      </c>
    </row>
    <row r="10" spans="2:11" ht="15.75" x14ac:dyDescent="0.25">
      <c r="B10" s="27" t="s">
        <v>1732</v>
      </c>
    </row>
    <row r="11" spans="2:11" ht="15.75" x14ac:dyDescent="0.25">
      <c r="C11" s="32" t="s">
        <v>1748</v>
      </c>
      <c r="I11" s="32" t="s">
        <v>1731</v>
      </c>
    </row>
    <row r="13" spans="2:11" x14ac:dyDescent="0.25">
      <c r="C13" s="28" t="s">
        <v>1783</v>
      </c>
      <c r="D13" t="s">
        <v>1784</v>
      </c>
      <c r="J13" s="28" t="s">
        <v>1706</v>
      </c>
      <c r="K13" t="s" vm="1">
        <v>1785</v>
      </c>
    </row>
    <row r="14" spans="2:11" x14ac:dyDescent="0.25">
      <c r="C14" s="29">
        <v>0</v>
      </c>
      <c r="D14" s="31">
        <v>0.91200000000000003</v>
      </c>
    </row>
    <row r="15" spans="2:11" x14ac:dyDescent="0.25">
      <c r="C15" s="29">
        <v>1</v>
      </c>
      <c r="D15" s="31">
        <v>8.7999999999999995E-2</v>
      </c>
      <c r="J15" t="s">
        <v>1786</v>
      </c>
    </row>
    <row r="16" spans="2:11" x14ac:dyDescent="0.25">
      <c r="C16" s="29" t="s">
        <v>1782</v>
      </c>
      <c r="D16" s="31">
        <v>1</v>
      </c>
      <c r="J16" s="33">
        <v>7.3863636363636367</v>
      </c>
    </row>
    <row r="19" spans="2:13" ht="15.75" x14ac:dyDescent="0.25">
      <c r="B19" s="27" t="s">
        <v>1735</v>
      </c>
    </row>
    <row r="20" spans="2:13" ht="15.75" x14ac:dyDescent="0.25">
      <c r="B20" s="32" t="s">
        <v>1733</v>
      </c>
      <c r="J20" s="32" t="s">
        <v>1734</v>
      </c>
    </row>
    <row r="22" spans="2:13" x14ac:dyDescent="0.25">
      <c r="C22" s="28" t="s">
        <v>1787</v>
      </c>
      <c r="D22" t="s">
        <v>1788</v>
      </c>
      <c r="L22" s="28" t="s">
        <v>6</v>
      </c>
      <c r="M22" t="s" vm="2">
        <v>1790</v>
      </c>
    </row>
    <row r="23" spans="2:13" x14ac:dyDescent="0.25">
      <c r="C23" s="29">
        <v>1</v>
      </c>
      <c r="D23" s="33">
        <v>3.0181818181818181</v>
      </c>
    </row>
    <row r="24" spans="2:13" x14ac:dyDescent="0.25">
      <c r="C24" s="29">
        <v>2</v>
      </c>
      <c r="D24" s="33">
        <v>3.1111111111111112</v>
      </c>
      <c r="L24" s="28" t="s">
        <v>1791</v>
      </c>
      <c r="M24" t="s">
        <v>1792</v>
      </c>
    </row>
    <row r="25" spans="2:13" x14ac:dyDescent="0.25">
      <c r="C25" s="29">
        <v>3</v>
      </c>
      <c r="D25" s="33">
        <v>3.263157894736842</v>
      </c>
      <c r="L25" s="29" t="s">
        <v>1701</v>
      </c>
      <c r="M25" s="30">
        <v>50</v>
      </c>
    </row>
    <row r="26" spans="2:13" x14ac:dyDescent="0.25">
      <c r="C26" s="29">
        <v>4</v>
      </c>
      <c r="D26" s="33">
        <v>3.1428571428571428</v>
      </c>
      <c r="L26" s="29" t="s">
        <v>1729</v>
      </c>
      <c r="M26" s="30">
        <v>41</v>
      </c>
    </row>
    <row r="27" spans="2:13" x14ac:dyDescent="0.25">
      <c r="C27" s="29">
        <v>5</v>
      </c>
      <c r="D27" s="33">
        <v>2.8363636363636364</v>
      </c>
      <c r="L27" s="29" t="s">
        <v>1703</v>
      </c>
      <c r="M27" s="30">
        <v>28</v>
      </c>
    </row>
    <row r="28" spans="2:13" x14ac:dyDescent="0.25">
      <c r="C28" s="29">
        <v>6</v>
      </c>
      <c r="D28" s="33">
        <v>3</v>
      </c>
      <c r="L28" s="29" t="s">
        <v>1704</v>
      </c>
      <c r="M28" s="30">
        <v>15</v>
      </c>
    </row>
    <row r="29" spans="2:13" x14ac:dyDescent="0.25">
      <c r="C29" s="29">
        <v>7</v>
      </c>
      <c r="D29" s="33">
        <v>3.0370370370370372</v>
      </c>
      <c r="L29" s="29" t="s">
        <v>1705</v>
      </c>
      <c r="M29" s="30">
        <v>15</v>
      </c>
    </row>
    <row r="30" spans="2:13" x14ac:dyDescent="0.25">
      <c r="C30" s="29">
        <v>8</v>
      </c>
      <c r="D30" s="33">
        <v>2.9411764705882355</v>
      </c>
      <c r="L30" s="29" t="s">
        <v>1699</v>
      </c>
      <c r="M30" s="30">
        <v>12</v>
      </c>
    </row>
    <row r="31" spans="2:13" x14ac:dyDescent="0.25">
      <c r="C31" s="29">
        <v>9</v>
      </c>
      <c r="D31" s="33">
        <v>3.1764705882352939</v>
      </c>
      <c r="L31" s="29" t="s">
        <v>1698</v>
      </c>
      <c r="M31" s="30">
        <v>10</v>
      </c>
    </row>
    <row r="32" spans="2:13" x14ac:dyDescent="0.25">
      <c r="C32" s="29">
        <v>10</v>
      </c>
      <c r="D32" s="33">
        <v>2.8627450980392157</v>
      </c>
      <c r="L32" s="29" t="s">
        <v>1700</v>
      </c>
      <c r="M32" s="30">
        <v>9</v>
      </c>
    </row>
    <row r="33" spans="2:13" x14ac:dyDescent="0.25">
      <c r="C33" s="29" t="s">
        <v>1782</v>
      </c>
      <c r="D33" s="30">
        <v>3.03</v>
      </c>
      <c r="L33" s="29" t="s">
        <v>1702</v>
      </c>
      <c r="M33" s="30">
        <v>8</v>
      </c>
    </row>
    <row r="34" spans="2:13" x14ac:dyDescent="0.25">
      <c r="L34" s="29" t="s">
        <v>1782</v>
      </c>
      <c r="M34" s="30">
        <v>188</v>
      </c>
    </row>
    <row r="35" spans="2:13" x14ac:dyDescent="0.25">
      <c r="D35">
        <f>CORREL($C$23:$C$32, $D$23:$D$32)</f>
        <v>-0.36246428598424218</v>
      </c>
    </row>
    <row r="36" spans="2:13" x14ac:dyDescent="0.25">
      <c r="D36" s="34" t="s">
        <v>1789</v>
      </c>
    </row>
    <row r="38" spans="2:13" ht="15.75" x14ac:dyDescent="0.25">
      <c r="B38" s="27" t="s">
        <v>1738</v>
      </c>
    </row>
    <row r="39" spans="2:13" ht="15.75" x14ac:dyDescent="0.25">
      <c r="B39" s="32" t="s">
        <v>1736</v>
      </c>
      <c r="H39" s="32" t="s">
        <v>1737</v>
      </c>
    </row>
    <row r="42" spans="2:13" x14ac:dyDescent="0.25">
      <c r="C42" s="28" t="s">
        <v>1791</v>
      </c>
      <c r="D42" t="s">
        <v>1793</v>
      </c>
      <c r="I42" s="28" t="s">
        <v>1794</v>
      </c>
      <c r="J42" t="s">
        <v>1793</v>
      </c>
    </row>
    <row r="43" spans="2:13" x14ac:dyDescent="0.25">
      <c r="C43" s="29" t="s">
        <v>1705</v>
      </c>
      <c r="D43" s="35">
        <v>48253.888888888891</v>
      </c>
      <c r="I43" s="29" t="s">
        <v>33</v>
      </c>
      <c r="J43" s="35">
        <v>54052.298969072166</v>
      </c>
    </row>
    <row r="44" spans="2:13" x14ac:dyDescent="0.25">
      <c r="C44" s="29" t="s">
        <v>1729</v>
      </c>
      <c r="D44" s="35">
        <v>48362.053846153845</v>
      </c>
      <c r="I44" s="29" t="s">
        <v>13</v>
      </c>
      <c r="J44" s="35">
        <v>52607.633986928107</v>
      </c>
    </row>
    <row r="45" spans="2:13" x14ac:dyDescent="0.25">
      <c r="C45" s="29" t="s">
        <v>1699</v>
      </c>
      <c r="D45" s="35">
        <v>59878.666666666664</v>
      </c>
      <c r="I45" s="29" t="s">
        <v>1782</v>
      </c>
      <c r="J45" s="35">
        <v>53168.163999999997</v>
      </c>
    </row>
    <row r="46" spans="2:13" x14ac:dyDescent="0.25">
      <c r="C46" s="29" t="s">
        <v>1700</v>
      </c>
      <c r="D46" s="35">
        <v>48254.592592592591</v>
      </c>
    </row>
    <row r="47" spans="2:13" x14ac:dyDescent="0.25">
      <c r="C47" s="29" t="s">
        <v>1698</v>
      </c>
      <c r="D47" s="35">
        <v>65131.666666666664</v>
      </c>
    </row>
    <row r="48" spans="2:13" x14ac:dyDescent="0.25">
      <c r="C48" s="29" t="s">
        <v>1701</v>
      </c>
      <c r="D48" s="35">
        <v>48702.5</v>
      </c>
    </row>
    <row r="49" spans="2:9" x14ac:dyDescent="0.25">
      <c r="C49" s="29" t="s">
        <v>1702</v>
      </c>
      <c r="D49" s="35">
        <v>49048.037037037036</v>
      </c>
    </row>
    <row r="50" spans="2:9" x14ac:dyDescent="0.25">
      <c r="C50" s="29" t="s">
        <v>1704</v>
      </c>
      <c r="D50" s="35">
        <v>48469.92682926829</v>
      </c>
    </row>
    <row r="51" spans="2:9" x14ac:dyDescent="0.25">
      <c r="C51" s="29" t="s">
        <v>1703</v>
      </c>
      <c r="D51" s="35">
        <v>69925.346666666665</v>
      </c>
    </row>
    <row r="52" spans="2:9" x14ac:dyDescent="0.25">
      <c r="C52" s="29" t="s">
        <v>1782</v>
      </c>
      <c r="D52" s="35">
        <v>53168.163999999997</v>
      </c>
    </row>
    <row r="54" spans="2:9" ht="15.75" x14ac:dyDescent="0.25">
      <c r="B54" s="27" t="s">
        <v>1741</v>
      </c>
    </row>
    <row r="55" spans="2:9" ht="15.75" x14ac:dyDescent="0.25">
      <c r="B55" s="32" t="s">
        <v>1739</v>
      </c>
      <c r="G55" s="32" t="s">
        <v>1740</v>
      </c>
    </row>
    <row r="57" spans="2:9" x14ac:dyDescent="0.25">
      <c r="C57" s="28" t="s">
        <v>1810</v>
      </c>
      <c r="D57" t="s">
        <v>1784</v>
      </c>
    </row>
    <row r="58" spans="2:9" x14ac:dyDescent="0.25">
      <c r="C58" s="29" t="s">
        <v>1795</v>
      </c>
      <c r="D58" s="30">
        <v>51</v>
      </c>
      <c r="H58" s="28" t="s">
        <v>1811</v>
      </c>
      <c r="I58" t="s" vm="3">
        <v>1790</v>
      </c>
    </row>
    <row r="59" spans="2:9" x14ac:dyDescent="0.25">
      <c r="C59" s="29" t="s">
        <v>1796</v>
      </c>
      <c r="D59" s="30">
        <v>69</v>
      </c>
    </row>
    <row r="60" spans="2:9" x14ac:dyDescent="0.25">
      <c r="C60" s="29" t="s">
        <v>1797</v>
      </c>
      <c r="D60" s="30">
        <v>56</v>
      </c>
      <c r="H60" s="28" t="s">
        <v>1791</v>
      </c>
      <c r="I60" t="s">
        <v>1812</v>
      </c>
    </row>
    <row r="61" spans="2:9" x14ac:dyDescent="0.25">
      <c r="C61" s="29" t="s">
        <v>1798</v>
      </c>
      <c r="D61" s="30">
        <v>52</v>
      </c>
      <c r="H61" s="29" t="s">
        <v>1705</v>
      </c>
      <c r="I61" s="30">
        <v>1</v>
      </c>
    </row>
    <row r="62" spans="2:9" x14ac:dyDescent="0.25">
      <c r="C62" s="29" t="s">
        <v>1799</v>
      </c>
      <c r="D62" s="30">
        <v>44</v>
      </c>
      <c r="H62" s="29" t="s">
        <v>1729</v>
      </c>
      <c r="I62" s="30">
        <v>3</v>
      </c>
    </row>
    <row r="63" spans="2:9" x14ac:dyDescent="0.25">
      <c r="C63" s="29" t="s">
        <v>1800</v>
      </c>
      <c r="D63" s="30">
        <v>50</v>
      </c>
      <c r="H63" s="29" t="s">
        <v>1700</v>
      </c>
      <c r="I63" s="30">
        <v>1</v>
      </c>
    </row>
    <row r="64" spans="2:9" x14ac:dyDescent="0.25">
      <c r="C64" s="29" t="s">
        <v>1801</v>
      </c>
      <c r="D64" s="30">
        <v>41</v>
      </c>
      <c r="H64" s="29" t="s">
        <v>1701</v>
      </c>
      <c r="I64" s="30">
        <v>2</v>
      </c>
    </row>
    <row r="65" spans="2:9" x14ac:dyDescent="0.25">
      <c r="C65" s="29" t="s">
        <v>1802</v>
      </c>
      <c r="D65" s="30">
        <v>41</v>
      </c>
      <c r="H65" s="29" t="s">
        <v>1702</v>
      </c>
      <c r="I65" s="30">
        <v>1</v>
      </c>
    </row>
    <row r="66" spans="2:9" x14ac:dyDescent="0.25">
      <c r="C66" s="29" t="s">
        <v>1803</v>
      </c>
      <c r="D66" s="30">
        <v>23</v>
      </c>
      <c r="H66" s="29" t="s">
        <v>1704</v>
      </c>
      <c r="I66" s="30">
        <v>3</v>
      </c>
    </row>
    <row r="67" spans="2:9" x14ac:dyDescent="0.25">
      <c r="C67" s="29" t="s">
        <v>1804</v>
      </c>
      <c r="D67" s="30">
        <v>24</v>
      </c>
      <c r="H67" s="29" t="s">
        <v>1782</v>
      </c>
      <c r="I67" s="30">
        <v>11</v>
      </c>
    </row>
    <row r="68" spans="2:9" x14ac:dyDescent="0.25">
      <c r="C68" s="29" t="s">
        <v>1805</v>
      </c>
      <c r="D68" s="30">
        <v>22</v>
      </c>
    </row>
    <row r="69" spans="2:9" x14ac:dyDescent="0.25">
      <c r="C69" s="29" t="s">
        <v>1806</v>
      </c>
      <c r="D69" s="30">
        <v>10</v>
      </c>
    </row>
    <row r="70" spans="2:9" x14ac:dyDescent="0.25">
      <c r="C70" s="29" t="s">
        <v>1807</v>
      </c>
      <c r="D70" s="30">
        <v>6</v>
      </c>
    </row>
    <row r="71" spans="2:9" x14ac:dyDescent="0.25">
      <c r="C71" s="29" t="s">
        <v>1808</v>
      </c>
      <c r="D71" s="30">
        <v>6</v>
      </c>
    </row>
    <row r="72" spans="2:9" x14ac:dyDescent="0.25">
      <c r="C72" s="29" t="s">
        <v>1809</v>
      </c>
      <c r="D72" s="30">
        <v>5</v>
      </c>
    </row>
    <row r="73" spans="2:9" x14ac:dyDescent="0.25">
      <c r="C73" s="29" t="s">
        <v>1782</v>
      </c>
      <c r="D73" s="30">
        <v>500</v>
      </c>
    </row>
    <row r="76" spans="2:9" ht="15.75" x14ac:dyDescent="0.25">
      <c r="B76" s="36" t="s">
        <v>1742</v>
      </c>
    </row>
    <row r="78" spans="2:9" ht="15.75" x14ac:dyDescent="0.25">
      <c r="B78" s="10"/>
      <c r="C78">
        <f>SUM(Table15[Performance issues?])</f>
        <v>8</v>
      </c>
    </row>
    <row r="79" spans="2:9" ht="15.75" x14ac:dyDescent="0.25">
      <c r="B79"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DFA4-60AF-4AAE-95BB-DBC7D1ED6CDC}">
  <dimension ref="A1:V6"/>
  <sheetViews>
    <sheetView tabSelected="1" zoomScale="70" workbookViewId="0">
      <selection activeCell="Y16" sqref="Y16"/>
    </sheetView>
  </sheetViews>
  <sheetFormatPr defaultRowHeight="15" x14ac:dyDescent="0.25"/>
  <sheetData>
    <row r="1" spans="1:22" x14ac:dyDescent="0.25">
      <c r="A1" s="38" t="s">
        <v>1814</v>
      </c>
      <c r="B1" s="38"/>
      <c r="C1" s="37"/>
      <c r="D1" s="37"/>
      <c r="E1" s="37"/>
      <c r="F1" s="37"/>
      <c r="G1" s="37"/>
      <c r="H1" s="37"/>
      <c r="I1" s="37"/>
      <c r="J1" s="37"/>
      <c r="K1" s="37"/>
      <c r="L1" s="37"/>
      <c r="M1" s="37"/>
      <c r="N1" s="37"/>
      <c r="O1" s="37"/>
      <c r="P1" s="37"/>
      <c r="Q1" s="37"/>
      <c r="R1" s="37"/>
      <c r="S1" s="37"/>
      <c r="T1" s="37"/>
      <c r="U1" s="37"/>
      <c r="V1" s="37"/>
    </row>
    <row r="2" spans="1:22" x14ac:dyDescent="0.25">
      <c r="A2" s="37"/>
      <c r="B2" s="37"/>
      <c r="C2" s="37"/>
      <c r="D2" s="37"/>
      <c r="E2" s="37"/>
      <c r="F2" s="37"/>
      <c r="G2" s="37"/>
      <c r="H2" s="37"/>
      <c r="I2" s="37"/>
      <c r="J2" s="37"/>
      <c r="K2" s="37"/>
      <c r="L2" s="37"/>
      <c r="M2" s="37"/>
      <c r="N2" s="37"/>
      <c r="O2" s="37"/>
      <c r="P2" s="37"/>
      <c r="Q2" s="37"/>
      <c r="R2" s="37"/>
      <c r="S2" s="37"/>
      <c r="T2" s="37"/>
      <c r="U2" s="37"/>
      <c r="V2" s="37"/>
    </row>
    <row r="3" spans="1:22" ht="15.75" thickBot="1" x14ac:dyDescent="0.3">
      <c r="A3" s="37"/>
      <c r="B3" s="37"/>
      <c r="C3" s="37"/>
      <c r="D3" s="37"/>
      <c r="E3" s="37"/>
      <c r="F3" s="37"/>
      <c r="G3" s="37"/>
      <c r="H3" s="37"/>
      <c r="I3" s="37"/>
      <c r="J3" s="37"/>
      <c r="K3" s="37"/>
      <c r="L3" s="37"/>
      <c r="M3" s="37"/>
      <c r="N3" s="37"/>
      <c r="O3" s="37"/>
      <c r="P3" s="37"/>
      <c r="Q3" s="37"/>
      <c r="R3" s="37"/>
      <c r="S3" s="37"/>
      <c r="T3" s="37"/>
      <c r="U3" s="37"/>
      <c r="V3" s="37"/>
    </row>
    <row r="4" spans="1:22" ht="15" customHeight="1" x14ac:dyDescent="0.25">
      <c r="D4" s="39">
        <f>'Analysis| Summarization'!$I$4</f>
        <v>44</v>
      </c>
      <c r="E4" s="40"/>
      <c r="F4" s="41"/>
      <c r="G4" s="39">
        <f>'Analysis| Summarization'!$I$5</f>
        <v>29</v>
      </c>
      <c r="H4" s="40"/>
      <c r="I4" s="41"/>
      <c r="J4" s="39">
        <f>'Analysis| Summarization'!$I$6</f>
        <v>456</v>
      </c>
      <c r="K4" s="40"/>
      <c r="L4" s="41"/>
      <c r="M4" s="39">
        <f>'Analysis| Summarization'!$I$7</f>
        <v>500</v>
      </c>
      <c r="N4" s="40"/>
      <c r="O4" s="41"/>
      <c r="P4" s="48">
        <f>GETPIVOTDATA("[Measures].[Average of Duration]",'Analysis| Summarization'!$J$15)</f>
        <v>7.3863636363636367</v>
      </c>
      <c r="Q4" s="49"/>
      <c r="R4" s="50"/>
    </row>
    <row r="5" spans="1:22" ht="15" customHeight="1" x14ac:dyDescent="0.25">
      <c r="D5" s="42"/>
      <c r="E5" s="43"/>
      <c r="F5" s="44"/>
      <c r="G5" s="42"/>
      <c r="H5" s="43"/>
      <c r="I5" s="44"/>
      <c r="J5" s="42"/>
      <c r="K5" s="43"/>
      <c r="L5" s="44"/>
      <c r="M5" s="42"/>
      <c r="N5" s="43"/>
      <c r="O5" s="44"/>
      <c r="P5" s="51"/>
      <c r="Q5" s="52"/>
      <c r="R5" s="53"/>
    </row>
    <row r="6" spans="1:22" ht="15.75" customHeight="1" thickBot="1" x14ac:dyDescent="0.3">
      <c r="D6" s="45"/>
      <c r="E6" s="46"/>
      <c r="F6" s="47"/>
      <c r="G6" s="45"/>
      <c r="H6" s="46"/>
      <c r="I6" s="47"/>
      <c r="J6" s="45"/>
      <c r="K6" s="46"/>
      <c r="L6" s="47"/>
      <c r="M6" s="45"/>
      <c r="N6" s="46"/>
      <c r="O6" s="47"/>
      <c r="P6" s="54"/>
      <c r="Q6" s="55"/>
      <c r="R6" s="56"/>
    </row>
  </sheetData>
  <mergeCells count="6">
    <mergeCell ref="A1:V3"/>
    <mergeCell ref="D4:F6"/>
    <mergeCell ref="G4:I6"/>
    <mergeCell ref="J4:L6"/>
    <mergeCell ref="M4:O6"/>
    <mergeCell ref="P4:R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19B7D0-ACC0-417D-8F11-AC9350F7B9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Employee_Info</vt:lpstr>
      <vt:lpstr>New_employee(Cleaned)</vt:lpstr>
      <vt:lpstr>Emp</vt:lpstr>
      <vt:lpstr>Dept_Info</vt:lpstr>
      <vt:lpstr>Business Context</vt:lpstr>
      <vt:lpstr>Expected Deliverables</vt:lpstr>
      <vt:lpstr>Analysis| Summarization</vt:lpstr>
      <vt:lpstr>HR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Mehak .</dc:creator>
  <cp:lastModifiedBy>Mehak .</cp:lastModifiedBy>
  <dcterms:created xsi:type="dcterms:W3CDTF">2025-06-24T06:14:07Z</dcterms:created>
  <dcterms:modified xsi:type="dcterms:W3CDTF">2025-12-15T06:33:29Z</dcterms:modified>
</cp:coreProperties>
</file>